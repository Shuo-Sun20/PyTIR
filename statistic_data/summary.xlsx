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7C344AF-7F6B-4E0D-B0AA-B316D1EDDD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ypeAccuracy" sheetId="6" r:id="rId1"/>
    <sheet name="Any_Ratio" sheetId="1" r:id="rId2"/>
    <sheet name="Token_Cost" sheetId="3" r:id="rId3"/>
    <sheet name="Time_Cost" sheetId="5" r:id="rId4"/>
    <sheet name="Time_Trend" sheetId="4" r:id="rId5"/>
  </sheets>
  <calcPr calcId="191029"/>
</workbook>
</file>

<file path=xl/calcChain.xml><?xml version="1.0" encoding="utf-8"?>
<calcChain xmlns="http://schemas.openxmlformats.org/spreadsheetml/2006/main">
  <c r="G43" i="6" l="1"/>
  <c r="H43" i="6"/>
  <c r="I43" i="6"/>
  <c r="J43" i="6"/>
  <c r="K43" i="6"/>
  <c r="L43" i="6"/>
  <c r="M43" i="6"/>
  <c r="N43" i="6"/>
  <c r="O43" i="6"/>
  <c r="P43" i="6"/>
  <c r="Q43" i="6"/>
  <c r="H44" i="6"/>
  <c r="I44" i="6"/>
  <c r="J44" i="6"/>
  <c r="K44" i="6"/>
  <c r="L44" i="6"/>
  <c r="M44" i="6"/>
  <c r="N44" i="6"/>
  <c r="O44" i="6"/>
  <c r="P44" i="6"/>
  <c r="Q44" i="6"/>
  <c r="G63" i="6"/>
  <c r="H63" i="6"/>
  <c r="I63" i="6"/>
  <c r="J63" i="6"/>
  <c r="K63" i="6"/>
  <c r="L63" i="6"/>
  <c r="M63" i="6"/>
  <c r="N63" i="6"/>
  <c r="O63" i="6"/>
  <c r="P63" i="6"/>
  <c r="Q63" i="6"/>
  <c r="H64" i="6"/>
  <c r="I64" i="6"/>
  <c r="J64" i="6"/>
  <c r="K64" i="6"/>
  <c r="L64" i="6"/>
  <c r="M64" i="6"/>
  <c r="N64" i="6"/>
  <c r="O64" i="6"/>
  <c r="P64" i="6"/>
  <c r="Q64" i="6"/>
  <c r="G83" i="6"/>
  <c r="H83" i="6"/>
  <c r="I83" i="6"/>
  <c r="J83" i="6"/>
  <c r="K83" i="6"/>
  <c r="L83" i="6"/>
  <c r="M83" i="6"/>
  <c r="N83" i="6"/>
  <c r="O83" i="6"/>
  <c r="P83" i="6"/>
  <c r="Q83" i="6"/>
  <c r="H84" i="6"/>
  <c r="I84" i="6"/>
  <c r="J84" i="6"/>
  <c r="K84" i="6"/>
  <c r="L84" i="6"/>
  <c r="M84" i="6"/>
  <c r="N84" i="6"/>
  <c r="O84" i="6"/>
  <c r="P84" i="6"/>
  <c r="Q84" i="6"/>
  <c r="G103" i="6"/>
  <c r="H103" i="6"/>
  <c r="I103" i="6"/>
  <c r="J103" i="6"/>
  <c r="K103" i="6"/>
  <c r="L103" i="6"/>
  <c r="M103" i="6"/>
  <c r="N103" i="6"/>
  <c r="O103" i="6"/>
  <c r="P103" i="6"/>
  <c r="Q103" i="6"/>
  <c r="H104" i="6"/>
  <c r="I104" i="6"/>
  <c r="J104" i="6"/>
  <c r="K104" i="6"/>
  <c r="L104" i="6"/>
  <c r="M104" i="6"/>
  <c r="N104" i="6"/>
  <c r="O104" i="6"/>
  <c r="P104" i="6"/>
  <c r="Q104" i="6"/>
  <c r="G126" i="6"/>
  <c r="H126" i="6"/>
  <c r="I126" i="6"/>
  <c r="J126" i="6"/>
  <c r="K126" i="6"/>
  <c r="L126" i="6"/>
  <c r="M126" i="6"/>
  <c r="N126" i="6"/>
  <c r="O126" i="6"/>
  <c r="P126" i="6"/>
  <c r="Q126" i="6"/>
  <c r="H127" i="6"/>
  <c r="I127" i="6"/>
  <c r="J127" i="6"/>
  <c r="K127" i="6"/>
  <c r="L127" i="6"/>
  <c r="M127" i="6"/>
  <c r="N127" i="6"/>
  <c r="O127" i="6"/>
  <c r="P127" i="6"/>
  <c r="Q127" i="6"/>
  <c r="G148" i="6"/>
  <c r="H148" i="6"/>
  <c r="I148" i="6"/>
  <c r="J148" i="6"/>
  <c r="K148" i="6"/>
  <c r="L148" i="6"/>
  <c r="M148" i="6"/>
  <c r="N148" i="6"/>
  <c r="O148" i="6"/>
  <c r="P148" i="6"/>
  <c r="Q148" i="6"/>
  <c r="H149" i="6"/>
  <c r="I149" i="6"/>
  <c r="J149" i="6"/>
  <c r="K149" i="6"/>
  <c r="L149" i="6"/>
  <c r="M149" i="6"/>
  <c r="N149" i="6"/>
  <c r="O149" i="6"/>
  <c r="P149" i="6"/>
  <c r="Q149" i="6"/>
  <c r="G169" i="6"/>
  <c r="H169" i="6"/>
  <c r="I169" i="6"/>
  <c r="J169" i="6"/>
  <c r="K169" i="6"/>
  <c r="L169" i="6"/>
  <c r="M169" i="6"/>
  <c r="N169" i="6"/>
  <c r="O169" i="6"/>
  <c r="P169" i="6"/>
  <c r="Q169" i="6"/>
  <c r="H170" i="6"/>
  <c r="I170" i="6"/>
  <c r="J170" i="6"/>
  <c r="K170" i="6"/>
  <c r="L170" i="6"/>
  <c r="M170" i="6"/>
  <c r="N170" i="6"/>
  <c r="O170" i="6"/>
  <c r="P170" i="6"/>
  <c r="Q170" i="6"/>
  <c r="C29" i="5"/>
  <c r="B29" i="5"/>
  <c r="C28" i="5"/>
  <c r="B28" i="5"/>
  <c r="F12" i="4"/>
  <c r="F13" i="4"/>
  <c r="F14" i="4"/>
  <c r="F15" i="4"/>
  <c r="F16" i="4"/>
  <c r="F17" i="4"/>
  <c r="F18" i="4"/>
  <c r="F19" i="4"/>
  <c r="F20" i="4"/>
  <c r="F21" i="4"/>
  <c r="F22" i="4"/>
  <c r="F23" i="4"/>
  <c r="C182" i="3"/>
  <c r="D182" i="3"/>
  <c r="B182" i="3"/>
  <c r="C166" i="3"/>
  <c r="D166" i="3"/>
  <c r="B166" i="3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N15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N9" i="1"/>
</calcChain>
</file>

<file path=xl/sharedStrings.xml><?xml version="1.0" encoding="utf-8"?>
<sst xmlns="http://schemas.openxmlformats.org/spreadsheetml/2006/main" count="353" uniqueCount="56">
  <si>
    <t>PyRIR_V3</t>
  </si>
  <si>
    <t>Repository</t>
  </si>
  <si>
    <t>flask</t>
  </si>
  <si>
    <t>jinja2</t>
  </si>
  <si>
    <t>click</t>
  </si>
  <si>
    <t>black</t>
  </si>
  <si>
    <t>pre_commit</t>
  </si>
  <si>
    <t>werkzeug</t>
  </si>
  <si>
    <t>pre_commit_hooks</t>
  </si>
  <si>
    <t>flake8</t>
  </si>
  <si>
    <t>fastapi</t>
  </si>
  <si>
    <t>rich</t>
  </si>
  <si>
    <t>typer</t>
  </si>
  <si>
    <t>urllib3</t>
  </si>
  <si>
    <t>Total</t>
  </si>
  <si>
    <t>#Any</t>
  </si>
  <si>
    <t>#all annotations</t>
  </si>
  <si>
    <t>Any Ratio</t>
  </si>
  <si>
    <t>PyRIR_R1</t>
  </si>
  <si>
    <t>total_tokens</t>
  </si>
  <si>
    <t>user_tokens</t>
  </si>
  <si>
    <t>assistant_tokens</t>
  </si>
  <si>
    <t>PyTIR_V3</t>
    <phoneticPr fontId="4" type="noConversion"/>
  </si>
  <si>
    <t>Average</t>
  </si>
  <si>
    <t>Average</t>
    <phoneticPr fontId="4" type="noConversion"/>
  </si>
  <si>
    <t>PYTIR_R1</t>
    <phoneticPr fontId="4" type="noConversion"/>
  </si>
  <si>
    <t>time</t>
  </si>
  <si>
    <t>project_name</t>
    <phoneticPr fontId="4" type="noConversion"/>
  </si>
  <si>
    <t>project_name</t>
    <phoneticPr fontId="8" type="noConversion"/>
  </si>
  <si>
    <t>complexity (parameters per function)</t>
    <phoneticPr fontId="8" type="noConversion"/>
  </si>
  <si>
    <t>size (total_token)</t>
    <phoneticPr fontId="8" type="noConversion"/>
  </si>
  <si>
    <t>size*complexity</t>
    <phoneticPr fontId="8" type="noConversion"/>
  </si>
  <si>
    <t>.</t>
    <phoneticPr fontId="8" type="noConversion"/>
  </si>
  <si>
    <t>Average(s)</t>
    <phoneticPr fontId="8" type="noConversion"/>
  </si>
  <si>
    <t>V3_time(s)</t>
    <phoneticPr fontId="8" type="noConversion"/>
  </si>
  <si>
    <t>R1_time(s)</t>
    <phoneticPr fontId="8" type="noConversion"/>
  </si>
  <si>
    <t>Average(h)</t>
    <phoneticPr fontId="8" type="noConversion"/>
  </si>
  <si>
    <t>overall:</t>
  </si>
  <si>
    <t>Repo Info</t>
  </si>
  <si>
    <t>Static Analysis</t>
  </si>
  <si>
    <t>Deep Learning</t>
  </si>
  <si>
    <t>LaRY</t>
  </si>
  <si>
    <t xml:space="preserve">hityper </t>
  </si>
  <si>
    <t xml:space="preserve">QuAC </t>
  </si>
  <si>
    <t>TypeGen</t>
  </si>
  <si>
    <t xml:space="preserve">Tiger </t>
  </si>
  <si>
    <t>repo_name</t>
  </si>
  <si>
    <t>total_vars</t>
  </si>
  <si>
    <t>sim</t>
  </si>
  <si>
    <t>exact</t>
  </si>
  <si>
    <t>Stadard deviation</t>
  </si>
  <si>
    <t>builtins:</t>
  </si>
  <si>
    <t>containers:</t>
  </si>
  <si>
    <t>UnionTypes:</t>
  </si>
  <si>
    <t>UserDef:</t>
  </si>
  <si>
    <t>Others: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</si>
</sst>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 "/>
    <numFmt numFmtId="181" formatCode="0.000_ "/>
  </numFmts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等线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</font>
    <font>
      <sz val="14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right"/>
    </xf>
    <xf numFmtId="0" fontId="1" fillId="0" borderId="2" xfId="0" applyFont="1" applyBorder="1">
      <alignment vertical="center"/>
    </xf>
    <xf numFmtId="0" fontId="2" fillId="0" borderId="2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1" xfId="0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5" fillId="0" borderId="0" xfId="0" applyFont="1" applyAlignment="1"/>
    <xf numFmtId="0" fontId="6" fillId="0" borderId="0" xfId="0" applyFont="1">
      <alignment vertical="center"/>
    </xf>
    <xf numFmtId="0" fontId="0" fillId="0" borderId="0" xfId="0" applyAlignment="1">
      <alignment horizontal="right" vertical="center"/>
    </xf>
    <xf numFmtId="0" fontId="7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righ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right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7" xfId="0" applyNumberFormat="1" applyFont="1" applyFill="1" applyBorder="1" applyAlignment="1" applyProtection="1">
      <alignment horizontal="center" vertical="center"/>
    </xf>
    <xf numFmtId="0" fontId="11" fillId="0" borderId="8" xfId="0" applyNumberFormat="1" applyFont="1" applyFill="1" applyBorder="1" applyAlignment="1" applyProtection="1">
      <alignment horizontal="center" vertical="center"/>
    </xf>
    <xf numFmtId="0" fontId="11" fillId="0" borderId="6" xfId="0" applyNumberFormat="1" applyFont="1" applyFill="1" applyBorder="1" applyAlignment="1" applyProtection="1">
      <alignment horizontal="left" vertical="center"/>
    </xf>
    <xf numFmtId="0" fontId="11" fillId="0" borderId="6" xfId="0" applyNumberFormat="1" applyFont="1" applyFill="1" applyBorder="1" applyAlignment="1" applyProtection="1">
      <alignment horizontal="right" vertical="center"/>
    </xf>
    <xf numFmtId="0" fontId="11" fillId="0" borderId="0" xfId="0" applyNumberFormat="1" applyFont="1" applyFill="1" applyBorder="1" applyAlignment="1" applyProtection="1">
      <alignment horizontal="left" vertical="center"/>
    </xf>
    <xf numFmtId="180" fontId="11" fillId="0" borderId="0" xfId="0" applyNumberFormat="1" applyFont="1" applyFill="1" applyBorder="1" applyAlignment="1" applyProtection="1">
      <alignment horizontal="right" vertical="center"/>
    </xf>
    <xf numFmtId="0" fontId="11" fillId="0" borderId="8" xfId="0" applyNumberFormat="1" applyFont="1" applyFill="1" applyBorder="1" applyAlignment="1" applyProtection="1">
      <alignment horizontal="left" vertical="center"/>
    </xf>
    <xf numFmtId="180" fontId="11" fillId="0" borderId="8" xfId="0" applyNumberFormat="1" applyFont="1" applyFill="1" applyBorder="1" applyAlignment="1" applyProtection="1">
      <alignment horizontal="right" vertical="center"/>
    </xf>
    <xf numFmtId="181" fontId="11" fillId="0" borderId="8" xfId="0" applyNumberFormat="1" applyFont="1" applyFill="1" applyBorder="1" applyAlignment="1" applyProtection="1">
      <alignment horizontal="left" vertical="center"/>
    </xf>
    <xf numFmtId="181" fontId="11" fillId="0" borderId="8" xfId="0" applyNumberFormat="1" applyFont="1" applyFill="1" applyBorder="1" applyAlignment="1" applyProtection="1">
      <alignment horizontal="right" vertical="center"/>
    </xf>
    <xf numFmtId="181" fontId="11" fillId="0" borderId="0" xfId="0" applyNumberFormat="1" applyFont="1" applyFill="1" applyBorder="1" applyAlignment="1" applyProtection="1">
      <alignment horizontal="right" vertical="center"/>
    </xf>
    <xf numFmtId="0" fontId="11" fillId="0" borderId="0" xfId="0" applyNumberFormat="1" applyFont="1" applyFill="1" applyBorder="1" applyAlignment="1" applyProtection="1">
      <alignment horizontal="left"/>
    </xf>
    <xf numFmtId="181" fontId="11" fillId="0" borderId="6" xfId="0" applyNumberFormat="1" applyFont="1" applyFill="1" applyBorder="1" applyAlignment="1" applyProtection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Time_Trend!$F$12:$F$23</c:f>
              <c:numCache>
                <c:formatCode>General</c:formatCode>
                <c:ptCount val="12"/>
                <c:pt idx="0">
                  <c:v>18334.904761904749</c:v>
                </c:pt>
                <c:pt idx="1">
                  <c:v>41937.90952380962</c:v>
                </c:pt>
                <c:pt idx="2">
                  <c:v>120913.24390243906</c:v>
                </c:pt>
                <c:pt idx="3">
                  <c:v>71251.67479674783</c:v>
                </c:pt>
                <c:pt idx="4">
                  <c:v>258085.13973799118</c:v>
                </c:pt>
                <c:pt idx="5">
                  <c:v>77852</c:v>
                </c:pt>
                <c:pt idx="6">
                  <c:v>111687.37452471488</c:v>
                </c:pt>
                <c:pt idx="7">
                  <c:v>121980.5081300811</c:v>
                </c:pt>
                <c:pt idx="8">
                  <c:v>118879.17557251894</c:v>
                </c:pt>
                <c:pt idx="9">
                  <c:v>155548.04845222068</c:v>
                </c:pt>
                <c:pt idx="10">
                  <c:v>190077.11141060208</c:v>
                </c:pt>
                <c:pt idx="11">
                  <c:v>351769.78468368499</c:v>
                </c:pt>
              </c:numCache>
            </c:numRef>
          </c:xVal>
          <c:yVal>
            <c:numRef>
              <c:f>Time_Trend!$G$12:$G$23</c:f>
              <c:numCache>
                <c:formatCode>General</c:formatCode>
                <c:ptCount val="12"/>
                <c:pt idx="0">
                  <c:v>1184.34399999999</c:v>
                </c:pt>
                <c:pt idx="1">
                  <c:v>2954.96</c:v>
                </c:pt>
                <c:pt idx="2">
                  <c:v>8162.7079999999896</c:v>
                </c:pt>
                <c:pt idx="3">
                  <c:v>6360.9969999999903</c:v>
                </c:pt>
                <c:pt idx="4">
                  <c:v>21127.306</c:v>
                </c:pt>
                <c:pt idx="5">
                  <c:v>4619.7239999999902</c:v>
                </c:pt>
                <c:pt idx="6">
                  <c:v>7499.9009999999998</c:v>
                </c:pt>
                <c:pt idx="7">
                  <c:v>10681.114</c:v>
                </c:pt>
                <c:pt idx="8">
                  <c:v>11604.218999999999</c:v>
                </c:pt>
                <c:pt idx="9">
                  <c:v>16784.076000000001</c:v>
                </c:pt>
                <c:pt idx="10">
                  <c:v>21221.979999999901</c:v>
                </c:pt>
                <c:pt idx="11">
                  <c:v>41770.325999999899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C-4209-9A0C-26AAAE416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88672"/>
        <c:axId val="2073494432"/>
      </c:scatterChart>
      <c:valAx>
        <c:axId val="20734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3494432"/>
        <c:crosses val="autoZero"/>
        <c:crossBetween val="midCat"/>
      </c:valAx>
      <c:valAx>
        <c:axId val="20734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348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2414587</xdr:colOff>
      <xdr:row>23</xdr:row>
      <xdr:rowOff>119062</xdr:rowOff>
    </xdr:from>
    <xdr:to>
      <xdr:col>7</xdr:col>
      <xdr:colOff>280987</xdr:colOff>
      <xdr:row>39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B714C91-486C-B23B-0571-192BA6AD5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281F-3056-4CFA-A995-281BE305401B}">
  <dimension ref="D9:Q170"/>
  <sheetViews>
    <sheetView tabSelected="1" topLeftCell="A166" workbookViewId="0">
      <selection activeCell="D158" sqref="D158"/>
    </sheetView>
  </sheetViews>
  <sheetFormatPr defaultRowHeight="14.25" x14ac:dyDescent="0.2"/>
  <cols>
    <col min="1" max="16384" width="9" style="17"/>
  </cols>
  <sheetData>
    <row r="9" spans="4:4" x14ac:dyDescent="0.2">
      <c r="D9" s="17" t="s">
        <v>32</v>
      </c>
    </row>
    <row r="26" spans="6:17" x14ac:dyDescent="0.2">
      <c r="F26" s="17" t="s">
        <v>37</v>
      </c>
    </row>
    <row r="28" spans="6:17" ht="18" x14ac:dyDescent="0.2">
      <c r="F28" s="21" t="s">
        <v>38</v>
      </c>
      <c r="G28" s="21"/>
      <c r="H28" s="21" t="s">
        <v>39</v>
      </c>
      <c r="I28" s="21"/>
      <c r="J28" s="21"/>
      <c r="K28" s="21"/>
      <c r="L28" s="21" t="s">
        <v>40</v>
      </c>
      <c r="M28" s="21"/>
      <c r="N28" s="21"/>
      <c r="O28" s="21"/>
      <c r="P28" s="21" t="s">
        <v>41</v>
      </c>
      <c r="Q28" s="21"/>
    </row>
    <row r="29" spans="6:17" ht="18" x14ac:dyDescent="0.2">
      <c r="F29" s="22"/>
      <c r="G29" s="22"/>
      <c r="H29" s="22" t="s">
        <v>42</v>
      </c>
      <c r="I29" s="22"/>
      <c r="J29" s="22" t="s">
        <v>43</v>
      </c>
      <c r="K29" s="22"/>
      <c r="L29" s="22" t="s">
        <v>44</v>
      </c>
      <c r="M29" s="22"/>
      <c r="N29" s="22" t="s">
        <v>45</v>
      </c>
      <c r="O29" s="22"/>
      <c r="P29" s="22"/>
      <c r="Q29" s="22"/>
    </row>
    <row r="30" spans="6:17" ht="18" x14ac:dyDescent="0.2">
      <c r="F30" s="23" t="s">
        <v>46</v>
      </c>
      <c r="G30" s="23" t="s">
        <v>47</v>
      </c>
      <c r="H30" s="24" t="s">
        <v>48</v>
      </c>
      <c r="I30" s="24" t="s">
        <v>49</v>
      </c>
      <c r="J30" s="24" t="s">
        <v>48</v>
      </c>
      <c r="K30" s="24" t="s">
        <v>49</v>
      </c>
      <c r="L30" s="24" t="s">
        <v>48</v>
      </c>
      <c r="M30" s="24" t="s">
        <v>49</v>
      </c>
      <c r="N30" s="24" t="s">
        <v>48</v>
      </c>
      <c r="O30" s="24" t="s">
        <v>49</v>
      </c>
      <c r="P30" s="24" t="s">
        <v>48</v>
      </c>
      <c r="Q30" s="24" t="s">
        <v>49</v>
      </c>
    </row>
    <row r="31" spans="6:17" ht="18" x14ac:dyDescent="0.2">
      <c r="F31" s="25" t="s">
        <v>4</v>
      </c>
      <c r="G31" s="25">
        <v>1003</v>
      </c>
      <c r="H31" s="26">
        <v>0.36330000000000001</v>
      </c>
      <c r="I31" s="26">
        <v>0.2752</v>
      </c>
      <c r="J31" s="26">
        <v>0.38690000000000002</v>
      </c>
      <c r="K31" s="26">
        <v>0.31409999999999999</v>
      </c>
      <c r="L31" s="26">
        <v>0.35780000000000001</v>
      </c>
      <c r="M31" s="26">
        <v>0.29010000000000002</v>
      </c>
      <c r="N31" s="26">
        <v>0.69730000000000003</v>
      </c>
      <c r="O31" s="26">
        <v>0.60419999999999996</v>
      </c>
      <c r="P31" s="26">
        <v>0.88119999999999998</v>
      </c>
      <c r="Q31" s="26">
        <v>0.83050000000000002</v>
      </c>
    </row>
    <row r="32" spans="6:17" ht="18" x14ac:dyDescent="0.2">
      <c r="F32" s="25" t="s">
        <v>9</v>
      </c>
      <c r="G32" s="25">
        <v>382</v>
      </c>
      <c r="H32" s="26">
        <v>0.27989999999999998</v>
      </c>
      <c r="I32" s="26">
        <v>0.22509999999999999</v>
      </c>
      <c r="J32" s="26">
        <v>0.25090000000000001</v>
      </c>
      <c r="K32" s="26">
        <v>0.19109999999999999</v>
      </c>
      <c r="L32" s="26">
        <v>0.25430000000000003</v>
      </c>
      <c r="M32" s="26">
        <v>0.22509999999999999</v>
      </c>
      <c r="N32" s="26">
        <v>0.68810000000000004</v>
      </c>
      <c r="O32" s="26">
        <v>0.59419999999999995</v>
      </c>
      <c r="P32" s="26">
        <v>0.92310000000000003</v>
      </c>
      <c r="Q32" s="26">
        <v>0.86909999999999998</v>
      </c>
    </row>
    <row r="33" spans="6:17" ht="18" x14ac:dyDescent="0.2">
      <c r="F33" s="25" t="s">
        <v>3</v>
      </c>
      <c r="G33" s="25">
        <v>1251</v>
      </c>
      <c r="H33" s="26">
        <v>0.2369</v>
      </c>
      <c r="I33" s="26">
        <v>0.18149999999999999</v>
      </c>
      <c r="J33" s="26">
        <v>0.31850000000000001</v>
      </c>
      <c r="K33" s="26">
        <v>0.25259999999999999</v>
      </c>
      <c r="L33" s="26">
        <v>0.3614</v>
      </c>
      <c r="M33" s="26">
        <v>0.30220000000000002</v>
      </c>
      <c r="N33" s="26">
        <v>0.65669999999999995</v>
      </c>
      <c r="O33" s="26">
        <v>0.55879999999999996</v>
      </c>
      <c r="P33" s="26">
        <v>0.84019999999999995</v>
      </c>
      <c r="Q33" s="26">
        <v>0.7722</v>
      </c>
    </row>
    <row r="34" spans="6:17" ht="18" x14ac:dyDescent="0.2">
      <c r="F34" s="25" t="s">
        <v>8</v>
      </c>
      <c r="G34" s="25">
        <v>255</v>
      </c>
      <c r="H34" s="26">
        <v>0.38669999999999999</v>
      </c>
      <c r="I34" s="26">
        <v>0.29409999999999997</v>
      </c>
      <c r="J34" s="26">
        <v>0.44740000000000002</v>
      </c>
      <c r="K34" s="26">
        <v>0.34510000000000002</v>
      </c>
      <c r="L34" s="26">
        <v>0.56689999999999996</v>
      </c>
      <c r="M34" s="26">
        <v>0.42349999999999999</v>
      </c>
      <c r="N34" s="26">
        <v>0.73250000000000004</v>
      </c>
      <c r="O34" s="26">
        <v>0.55289999999999995</v>
      </c>
      <c r="P34" s="26">
        <v>0.94210000000000005</v>
      </c>
      <c r="Q34" s="26">
        <v>0.91759999999999997</v>
      </c>
    </row>
    <row r="35" spans="6:17" ht="18" x14ac:dyDescent="0.2">
      <c r="F35" s="25" t="s">
        <v>13</v>
      </c>
      <c r="G35" s="25">
        <v>1108</v>
      </c>
      <c r="H35" s="26">
        <v>0.35010000000000002</v>
      </c>
      <c r="I35" s="26">
        <v>0.24640000000000001</v>
      </c>
      <c r="J35" s="26">
        <v>0.22489999999999999</v>
      </c>
      <c r="K35" s="26">
        <v>0.18140000000000001</v>
      </c>
      <c r="L35" s="26">
        <v>0.39</v>
      </c>
      <c r="M35" s="26">
        <v>0.33839999999999998</v>
      </c>
      <c r="N35" s="26">
        <v>0.67659999999999998</v>
      </c>
      <c r="O35" s="26">
        <v>0.57850000000000001</v>
      </c>
      <c r="P35" s="26">
        <v>0.85580000000000001</v>
      </c>
      <c r="Q35" s="26">
        <v>0.77170000000000005</v>
      </c>
    </row>
    <row r="36" spans="6:17" ht="18" x14ac:dyDescent="0.2">
      <c r="F36" s="25" t="s">
        <v>7</v>
      </c>
      <c r="G36" s="25">
        <v>1546</v>
      </c>
      <c r="H36" s="26">
        <v>0.32150000000000001</v>
      </c>
      <c r="I36" s="26">
        <v>0.251</v>
      </c>
      <c r="J36" s="26">
        <v>0.36820000000000003</v>
      </c>
      <c r="K36" s="26">
        <v>0.3034</v>
      </c>
      <c r="L36" s="26">
        <v>0.4249</v>
      </c>
      <c r="M36" s="26">
        <v>0.37519999999999998</v>
      </c>
      <c r="N36" s="26">
        <v>0.7591</v>
      </c>
      <c r="O36" s="26">
        <v>0.65139999999999998</v>
      </c>
      <c r="P36" s="26">
        <v>0.89090000000000003</v>
      </c>
      <c r="Q36" s="26">
        <v>0.82020000000000004</v>
      </c>
    </row>
    <row r="37" spans="6:17" ht="18" x14ac:dyDescent="0.2">
      <c r="F37" s="25" t="s">
        <v>5</v>
      </c>
      <c r="G37" s="25">
        <v>763</v>
      </c>
      <c r="H37" s="26">
        <v>0.1229</v>
      </c>
      <c r="I37" s="26">
        <v>0.10349999999999999</v>
      </c>
      <c r="J37" s="26">
        <v>0.36249999999999999</v>
      </c>
      <c r="K37" s="26">
        <v>0.29749999999999999</v>
      </c>
      <c r="L37" s="26">
        <v>0.35970000000000002</v>
      </c>
      <c r="M37" s="26">
        <v>0.32369999999999999</v>
      </c>
      <c r="N37" s="26">
        <v>0.67449999999999999</v>
      </c>
      <c r="O37" s="26">
        <v>0.60160000000000002</v>
      </c>
      <c r="P37" s="26">
        <v>0.90969999999999995</v>
      </c>
      <c r="Q37" s="26">
        <v>0.86629999999999996</v>
      </c>
    </row>
    <row r="38" spans="6:17" ht="18" x14ac:dyDescent="0.2">
      <c r="F38" s="25" t="s">
        <v>10</v>
      </c>
      <c r="G38" s="25">
        <v>1527</v>
      </c>
      <c r="H38" s="26">
        <v>0.4022</v>
      </c>
      <c r="I38" s="26">
        <v>0.188</v>
      </c>
      <c r="J38" s="26">
        <v>0.2359</v>
      </c>
      <c r="K38" s="26">
        <v>0.20039999999999999</v>
      </c>
      <c r="L38" s="26">
        <v>0.36180000000000001</v>
      </c>
      <c r="M38" s="26">
        <v>0.25340000000000001</v>
      </c>
      <c r="N38" s="26">
        <v>0.66020000000000001</v>
      </c>
      <c r="O38" s="26">
        <v>0.54220000000000002</v>
      </c>
      <c r="P38" s="26">
        <v>0.82779999999999998</v>
      </c>
      <c r="Q38" s="26">
        <v>0.74850000000000005</v>
      </c>
    </row>
    <row r="39" spans="6:17" ht="18" x14ac:dyDescent="0.2">
      <c r="F39" s="25" t="s">
        <v>2</v>
      </c>
      <c r="G39" s="25">
        <v>496</v>
      </c>
      <c r="H39" s="26">
        <v>0.29759999999999998</v>
      </c>
      <c r="I39" s="26">
        <v>0.2339</v>
      </c>
      <c r="J39" s="26">
        <v>0.2838</v>
      </c>
      <c r="K39" s="26">
        <v>0.2399</v>
      </c>
      <c r="L39" s="26">
        <v>0.32740000000000002</v>
      </c>
      <c r="M39" s="26">
        <v>0.2802</v>
      </c>
      <c r="N39" s="26">
        <v>0.7571</v>
      </c>
      <c r="O39" s="26">
        <v>0.6552</v>
      </c>
      <c r="P39" s="26">
        <v>0.92169999999999996</v>
      </c>
      <c r="Q39" s="26">
        <v>0.86899999999999999</v>
      </c>
    </row>
    <row r="40" spans="6:17" ht="18" x14ac:dyDescent="0.2">
      <c r="F40" s="25" t="s">
        <v>6</v>
      </c>
      <c r="G40" s="25">
        <v>818</v>
      </c>
      <c r="H40" s="26">
        <v>0.24340000000000001</v>
      </c>
      <c r="I40" s="26">
        <v>0.20169999999999999</v>
      </c>
      <c r="J40" s="26">
        <v>0.25540000000000002</v>
      </c>
      <c r="K40" s="26">
        <v>0.2054</v>
      </c>
      <c r="L40" s="26">
        <v>0.36820000000000003</v>
      </c>
      <c r="M40" s="26">
        <v>0.32640000000000002</v>
      </c>
      <c r="N40" s="26">
        <v>0.72699999999999998</v>
      </c>
      <c r="O40" s="26">
        <v>0.61739999999999995</v>
      </c>
      <c r="P40" s="26">
        <v>0.92490000000000006</v>
      </c>
      <c r="Q40" s="26">
        <v>0.88629999999999998</v>
      </c>
    </row>
    <row r="41" spans="6:17" ht="18" x14ac:dyDescent="0.2">
      <c r="F41" s="25" t="s">
        <v>11</v>
      </c>
      <c r="G41" s="25">
        <v>1700</v>
      </c>
      <c r="H41" s="26">
        <v>0.37340000000000001</v>
      </c>
      <c r="I41" s="26">
        <v>0.3206</v>
      </c>
      <c r="J41" s="26">
        <v>0.4027</v>
      </c>
      <c r="K41" s="26">
        <v>0.36759999999999998</v>
      </c>
      <c r="L41" s="26">
        <v>0.41820000000000002</v>
      </c>
      <c r="M41" s="26">
        <v>0.37759999999999999</v>
      </c>
      <c r="N41" s="26">
        <v>0.71089999999999998</v>
      </c>
      <c r="O41" s="26">
        <v>0.64239999999999997</v>
      </c>
      <c r="P41" s="26">
        <v>0.90980000000000005</v>
      </c>
      <c r="Q41" s="26">
        <v>0.87529999999999997</v>
      </c>
    </row>
    <row r="42" spans="6:17" ht="18" x14ac:dyDescent="0.2">
      <c r="F42" s="27" t="s">
        <v>12</v>
      </c>
      <c r="G42" s="27">
        <v>518</v>
      </c>
      <c r="H42" s="28">
        <v>0.1162</v>
      </c>
      <c r="I42" s="28">
        <v>8.6900000000000005E-2</v>
      </c>
      <c r="J42" s="28">
        <v>0.40510000000000002</v>
      </c>
      <c r="K42" s="28">
        <v>0.34749999999999998</v>
      </c>
      <c r="L42" s="28">
        <v>0.23619999999999999</v>
      </c>
      <c r="M42" s="28">
        <v>0.18340000000000001</v>
      </c>
      <c r="N42" s="28">
        <v>0.68820000000000003</v>
      </c>
      <c r="O42" s="28">
        <v>0.59850000000000003</v>
      </c>
      <c r="P42" s="28">
        <v>0.88680000000000003</v>
      </c>
      <c r="Q42" s="28">
        <v>0.80120000000000002</v>
      </c>
    </row>
    <row r="43" spans="6:17" ht="18" x14ac:dyDescent="0.2">
      <c r="F43" s="23" t="s">
        <v>23</v>
      </c>
      <c r="G43" s="29">
        <f>AVERAGE(G31:G42)</f>
        <v>947.25</v>
      </c>
      <c r="H43" s="30">
        <f>AVERAGE(H31:H42)</f>
        <v>0.29117500000000002</v>
      </c>
      <c r="I43" s="30">
        <f>AVERAGE(I31:I42)</f>
        <v>0.21732499999999999</v>
      </c>
      <c r="J43" s="30">
        <f>AVERAGE(J31:J42)</f>
        <v>0.32851666666666662</v>
      </c>
      <c r="K43" s="30">
        <f>AVERAGE(K31:K42)</f>
        <v>0.27050000000000002</v>
      </c>
      <c r="L43" s="30">
        <f>AVERAGE(L31:L42)</f>
        <v>0.36890000000000001</v>
      </c>
      <c r="M43" s="30">
        <f>AVERAGE(M31:M42)</f>
        <v>0.30826666666666669</v>
      </c>
      <c r="N43" s="30">
        <f>AVERAGE(N31:N42)</f>
        <v>0.70235000000000003</v>
      </c>
      <c r="O43" s="30">
        <f>AVERAGE(O31:O42)</f>
        <v>0.59977500000000006</v>
      </c>
      <c r="P43" s="30">
        <f>AVERAGE(P31:P42)</f>
        <v>0.89283333333333348</v>
      </c>
      <c r="Q43" s="30">
        <f>AVERAGE(Q31:Q42)</f>
        <v>0.83565833333333328</v>
      </c>
    </row>
    <row r="44" spans="6:17" ht="18" x14ac:dyDescent="0.2">
      <c r="F44" s="25" t="s">
        <v>50</v>
      </c>
      <c r="H44" s="17">
        <f>_xlfn.STDEV.P(H31:H42)</f>
        <v>9.2256735300645029E-2</v>
      </c>
      <c r="I44" s="17">
        <f>_xlfn.STDEV.P(I31:I42)</f>
        <v>6.744041969274317E-2</v>
      </c>
      <c r="J44" s="17">
        <f>_xlfn.STDEV.P(J31:J42)</f>
        <v>7.3271320370857942E-2</v>
      </c>
      <c r="K44" s="17">
        <f>_xlfn.STDEV.P(K31:K42)</f>
        <v>6.408776534305631E-2</v>
      </c>
      <c r="L44" s="17">
        <f>_xlfn.STDEV.P(L31:L42)</f>
        <v>8.0620200115521151E-2</v>
      </c>
      <c r="M44" s="17">
        <f>_xlfn.STDEV.P(M31:M42)</f>
        <v>6.5009119018454173E-2</v>
      </c>
      <c r="N44" s="17">
        <f>_xlfn.STDEV.P(N31:N42)</f>
        <v>3.3585574780452002E-2</v>
      </c>
      <c r="O44" s="17">
        <f>_xlfn.STDEV.P(O31:O42)</f>
        <v>3.6013819685411508E-2</v>
      </c>
      <c r="P44" s="17">
        <f>_xlfn.STDEV.P(P31:P42)</f>
        <v>3.4549151782480712E-2</v>
      </c>
      <c r="Q44" s="17">
        <f>_xlfn.STDEV.P(Q31:Q42)</f>
        <v>5.0979202595001619E-2</v>
      </c>
    </row>
    <row r="46" spans="6:17" x14ac:dyDescent="0.2">
      <c r="F46" s="17" t="s">
        <v>37</v>
      </c>
    </row>
    <row r="48" spans="6:17" ht="18" x14ac:dyDescent="0.2">
      <c r="F48" s="21" t="s">
        <v>38</v>
      </c>
      <c r="G48" s="21"/>
      <c r="H48" s="21" t="s">
        <v>39</v>
      </c>
      <c r="I48" s="21"/>
      <c r="J48" s="21"/>
      <c r="K48" s="21"/>
      <c r="L48" s="21" t="s">
        <v>40</v>
      </c>
      <c r="M48" s="21"/>
      <c r="N48" s="21"/>
      <c r="O48" s="21"/>
      <c r="P48" s="21" t="s">
        <v>41</v>
      </c>
      <c r="Q48" s="21"/>
    </row>
    <row r="49" spans="6:17" ht="18" x14ac:dyDescent="0.2">
      <c r="F49" s="22"/>
      <c r="G49" s="22"/>
      <c r="H49" s="22" t="s">
        <v>42</v>
      </c>
      <c r="I49" s="22"/>
      <c r="J49" s="22" t="s">
        <v>43</v>
      </c>
      <c r="K49" s="22"/>
      <c r="L49" s="22" t="s">
        <v>44</v>
      </c>
      <c r="M49" s="22"/>
      <c r="N49" s="22" t="s">
        <v>45</v>
      </c>
      <c r="O49" s="22"/>
      <c r="P49" s="22"/>
      <c r="Q49" s="22"/>
    </row>
    <row r="50" spans="6:17" ht="18" x14ac:dyDescent="0.2">
      <c r="F50" s="23" t="s">
        <v>46</v>
      </c>
      <c r="G50" s="23" t="s">
        <v>47</v>
      </c>
      <c r="H50" s="24" t="s">
        <v>48</v>
      </c>
      <c r="I50" s="24" t="s">
        <v>49</v>
      </c>
      <c r="J50" s="24" t="s">
        <v>48</v>
      </c>
      <c r="K50" s="24" t="s">
        <v>49</v>
      </c>
      <c r="L50" s="24" t="s">
        <v>48</v>
      </c>
      <c r="M50" s="24" t="s">
        <v>49</v>
      </c>
      <c r="N50" s="24" t="s">
        <v>48</v>
      </c>
      <c r="O50" s="24" t="s">
        <v>49</v>
      </c>
      <c r="P50" s="24" t="s">
        <v>48</v>
      </c>
      <c r="Q50" s="24" t="s">
        <v>49</v>
      </c>
    </row>
    <row r="51" spans="6:17" ht="18" x14ac:dyDescent="0.2">
      <c r="F51" s="25" t="s">
        <v>4</v>
      </c>
      <c r="G51" s="25">
        <v>1003</v>
      </c>
      <c r="H51" s="31">
        <v>0.36330000000000001</v>
      </c>
      <c r="I51" s="31">
        <v>0.2752</v>
      </c>
      <c r="J51" s="31">
        <v>0.38690000000000002</v>
      </c>
      <c r="K51" s="31">
        <v>0.31409999999999999</v>
      </c>
      <c r="L51" s="31">
        <v>0.35780000000000001</v>
      </c>
      <c r="M51" s="31">
        <v>0.29010000000000002</v>
      </c>
      <c r="N51" s="31">
        <v>0.69730000000000003</v>
      </c>
      <c r="O51" s="31">
        <v>0.60419999999999996</v>
      </c>
      <c r="P51" s="31">
        <v>0.88119999999999998</v>
      </c>
      <c r="Q51" s="31">
        <v>0.83050000000000002</v>
      </c>
    </row>
    <row r="52" spans="6:17" ht="18" x14ac:dyDescent="0.2">
      <c r="F52" s="25" t="s">
        <v>9</v>
      </c>
      <c r="G52" s="25">
        <v>382</v>
      </c>
      <c r="H52" s="31">
        <v>0.27989999999999998</v>
      </c>
      <c r="I52" s="31">
        <v>0.22509999999999999</v>
      </c>
      <c r="J52" s="31">
        <v>0.25090000000000001</v>
      </c>
      <c r="K52" s="31">
        <v>0.19109999999999999</v>
      </c>
      <c r="L52" s="31">
        <v>0.25430000000000003</v>
      </c>
      <c r="M52" s="31">
        <v>0.22509999999999999</v>
      </c>
      <c r="N52" s="31">
        <v>0.68810000000000004</v>
      </c>
      <c r="O52" s="31">
        <v>0.59419999999999995</v>
      </c>
      <c r="P52" s="31">
        <v>0.92310000000000003</v>
      </c>
      <c r="Q52" s="31">
        <v>0.86909999999999998</v>
      </c>
    </row>
    <row r="53" spans="6:17" ht="18" x14ac:dyDescent="0.2">
      <c r="F53" s="25" t="s">
        <v>3</v>
      </c>
      <c r="G53" s="25">
        <v>1251</v>
      </c>
      <c r="H53" s="31">
        <v>0.2369</v>
      </c>
      <c r="I53" s="31">
        <v>0.18149999999999999</v>
      </c>
      <c r="J53" s="31">
        <v>0.31850000000000001</v>
      </c>
      <c r="K53" s="31">
        <v>0.25259999999999999</v>
      </c>
      <c r="L53" s="31">
        <v>0.3614</v>
      </c>
      <c r="M53" s="31">
        <v>0.30220000000000002</v>
      </c>
      <c r="N53" s="31">
        <v>0.65669999999999995</v>
      </c>
      <c r="O53" s="31">
        <v>0.55879999999999996</v>
      </c>
      <c r="P53" s="31">
        <v>0.84019999999999995</v>
      </c>
      <c r="Q53" s="31">
        <v>0.7722</v>
      </c>
    </row>
    <row r="54" spans="6:17" ht="18" x14ac:dyDescent="0.2">
      <c r="F54" s="25" t="s">
        <v>8</v>
      </c>
      <c r="G54" s="25">
        <v>255</v>
      </c>
      <c r="H54" s="31">
        <v>0.38669999999999999</v>
      </c>
      <c r="I54" s="31">
        <v>0.29409999999999997</v>
      </c>
      <c r="J54" s="31">
        <v>0.44740000000000002</v>
      </c>
      <c r="K54" s="31">
        <v>0.34510000000000002</v>
      </c>
      <c r="L54" s="31">
        <v>0.56689999999999996</v>
      </c>
      <c r="M54" s="31">
        <v>0.42349999999999999</v>
      </c>
      <c r="N54" s="31">
        <v>0.73250000000000004</v>
      </c>
      <c r="O54" s="31">
        <v>0.55289999999999995</v>
      </c>
      <c r="P54" s="31">
        <v>0.94210000000000005</v>
      </c>
      <c r="Q54" s="31">
        <v>0.91759999999999997</v>
      </c>
    </row>
    <row r="55" spans="6:17" ht="18" x14ac:dyDescent="0.2">
      <c r="F55" s="25" t="s">
        <v>13</v>
      </c>
      <c r="G55" s="25">
        <v>1108</v>
      </c>
      <c r="H55" s="31">
        <v>0.35010000000000002</v>
      </c>
      <c r="I55" s="31">
        <v>0.24640000000000001</v>
      </c>
      <c r="J55" s="31">
        <v>0.22489999999999999</v>
      </c>
      <c r="K55" s="31">
        <v>0.18140000000000001</v>
      </c>
      <c r="L55" s="31">
        <v>0.39</v>
      </c>
      <c r="M55" s="31">
        <v>0.33839999999999998</v>
      </c>
      <c r="N55" s="31">
        <v>0.67659999999999998</v>
      </c>
      <c r="O55" s="31">
        <v>0.57850000000000001</v>
      </c>
      <c r="P55" s="31">
        <v>0.85580000000000001</v>
      </c>
      <c r="Q55" s="31">
        <v>0.77170000000000005</v>
      </c>
    </row>
    <row r="56" spans="6:17" ht="18" x14ac:dyDescent="0.2">
      <c r="F56" s="25" t="s">
        <v>7</v>
      </c>
      <c r="G56" s="25">
        <v>1546</v>
      </c>
      <c r="H56" s="31">
        <v>0.32150000000000001</v>
      </c>
      <c r="I56" s="31">
        <v>0.251</v>
      </c>
      <c r="J56" s="31">
        <v>0.36820000000000003</v>
      </c>
      <c r="K56" s="31">
        <v>0.3034</v>
      </c>
      <c r="L56" s="31">
        <v>0.4249</v>
      </c>
      <c r="M56" s="31">
        <v>0.37519999999999998</v>
      </c>
      <c r="N56" s="31">
        <v>0.7591</v>
      </c>
      <c r="O56" s="31">
        <v>0.65139999999999998</v>
      </c>
      <c r="P56" s="31">
        <v>0.89090000000000003</v>
      </c>
      <c r="Q56" s="31">
        <v>0.82020000000000004</v>
      </c>
    </row>
    <row r="57" spans="6:17" ht="18" x14ac:dyDescent="0.2">
      <c r="F57" s="25" t="s">
        <v>5</v>
      </c>
      <c r="G57" s="25">
        <v>763</v>
      </c>
      <c r="H57" s="31">
        <v>0.1229</v>
      </c>
      <c r="I57" s="31">
        <v>0.10349999999999999</v>
      </c>
      <c r="J57" s="31">
        <v>0.36249999999999999</v>
      </c>
      <c r="K57" s="31">
        <v>0.29749999999999999</v>
      </c>
      <c r="L57" s="31">
        <v>0.35970000000000002</v>
      </c>
      <c r="M57" s="31">
        <v>0.32369999999999999</v>
      </c>
      <c r="N57" s="31">
        <v>0.67449999999999999</v>
      </c>
      <c r="O57" s="31">
        <v>0.60160000000000002</v>
      </c>
      <c r="P57" s="31">
        <v>0.90969999999999995</v>
      </c>
      <c r="Q57" s="31">
        <v>0.86629999999999996</v>
      </c>
    </row>
    <row r="58" spans="6:17" ht="18" x14ac:dyDescent="0.2">
      <c r="F58" s="25" t="s">
        <v>10</v>
      </c>
      <c r="G58" s="25">
        <v>1527</v>
      </c>
      <c r="H58" s="31">
        <v>0.4022</v>
      </c>
      <c r="I58" s="31">
        <v>0.188</v>
      </c>
      <c r="J58" s="31">
        <v>0.2359</v>
      </c>
      <c r="K58" s="31">
        <v>0.20039999999999999</v>
      </c>
      <c r="L58" s="31">
        <v>0.36180000000000001</v>
      </c>
      <c r="M58" s="31">
        <v>0.25340000000000001</v>
      </c>
      <c r="N58" s="31">
        <v>0.66020000000000001</v>
      </c>
      <c r="O58" s="31">
        <v>0.54220000000000002</v>
      </c>
      <c r="P58" s="31">
        <v>0.82779999999999998</v>
      </c>
      <c r="Q58" s="31">
        <v>0.74850000000000005</v>
      </c>
    </row>
    <row r="59" spans="6:17" ht="18" x14ac:dyDescent="0.2">
      <c r="F59" s="25" t="s">
        <v>2</v>
      </c>
      <c r="G59" s="25">
        <v>496</v>
      </c>
      <c r="H59" s="31">
        <v>0.29759999999999998</v>
      </c>
      <c r="I59" s="31">
        <v>0.2339</v>
      </c>
      <c r="J59" s="31">
        <v>0.2838</v>
      </c>
      <c r="K59" s="31">
        <v>0.2399</v>
      </c>
      <c r="L59" s="31">
        <v>0.32740000000000002</v>
      </c>
      <c r="M59" s="31">
        <v>0.2802</v>
      </c>
      <c r="N59" s="31">
        <v>0.7571</v>
      </c>
      <c r="O59" s="31">
        <v>0.6552</v>
      </c>
      <c r="P59" s="31">
        <v>0.92169999999999996</v>
      </c>
      <c r="Q59" s="31">
        <v>0.86899999999999999</v>
      </c>
    </row>
    <row r="60" spans="6:17" ht="18" x14ac:dyDescent="0.2">
      <c r="F60" s="25" t="s">
        <v>6</v>
      </c>
      <c r="G60" s="25">
        <v>818</v>
      </c>
      <c r="H60" s="31">
        <v>0.24340000000000001</v>
      </c>
      <c r="I60" s="31">
        <v>0.20169999999999999</v>
      </c>
      <c r="J60" s="31">
        <v>0.25540000000000002</v>
      </c>
      <c r="K60" s="31">
        <v>0.2054</v>
      </c>
      <c r="L60" s="31">
        <v>0.36820000000000003</v>
      </c>
      <c r="M60" s="31">
        <v>0.32640000000000002</v>
      </c>
      <c r="N60" s="31">
        <v>0.72699999999999998</v>
      </c>
      <c r="O60" s="31">
        <v>0.61739999999999995</v>
      </c>
      <c r="P60" s="31">
        <v>0.92490000000000006</v>
      </c>
      <c r="Q60" s="31">
        <v>0.88629999999999998</v>
      </c>
    </row>
    <row r="61" spans="6:17" ht="18" x14ac:dyDescent="0.2">
      <c r="F61" s="25" t="s">
        <v>11</v>
      </c>
      <c r="G61" s="25">
        <v>1700</v>
      </c>
      <c r="H61" s="31">
        <v>0.37340000000000001</v>
      </c>
      <c r="I61" s="31">
        <v>0.3206</v>
      </c>
      <c r="J61" s="31">
        <v>0.4027</v>
      </c>
      <c r="K61" s="31">
        <v>0.36759999999999998</v>
      </c>
      <c r="L61" s="31">
        <v>0.41820000000000002</v>
      </c>
      <c r="M61" s="31">
        <v>0.37759999999999999</v>
      </c>
      <c r="N61" s="31">
        <v>0.71089999999999998</v>
      </c>
      <c r="O61" s="31">
        <v>0.64239999999999997</v>
      </c>
      <c r="P61" s="31">
        <v>0.90980000000000005</v>
      </c>
      <c r="Q61" s="31">
        <v>0.87529999999999997</v>
      </c>
    </row>
    <row r="62" spans="6:17" ht="18" x14ac:dyDescent="0.2">
      <c r="F62" s="27" t="s">
        <v>12</v>
      </c>
      <c r="G62" s="27">
        <v>518</v>
      </c>
      <c r="H62" s="30">
        <v>0.1162</v>
      </c>
      <c r="I62" s="30">
        <v>8.6900000000000005E-2</v>
      </c>
      <c r="J62" s="30">
        <v>0.40510000000000002</v>
      </c>
      <c r="K62" s="30">
        <v>0.34749999999999998</v>
      </c>
      <c r="L62" s="30">
        <v>0.23619999999999999</v>
      </c>
      <c r="M62" s="30">
        <v>0.18340000000000001</v>
      </c>
      <c r="N62" s="30">
        <v>0.68820000000000003</v>
      </c>
      <c r="O62" s="30">
        <v>0.59850000000000003</v>
      </c>
      <c r="P62" s="30">
        <v>0.88680000000000003</v>
      </c>
      <c r="Q62" s="30">
        <v>0.80120000000000002</v>
      </c>
    </row>
    <row r="63" spans="6:17" ht="18" x14ac:dyDescent="0.2">
      <c r="F63" s="23" t="s">
        <v>23</v>
      </c>
      <c r="G63" s="29">
        <f>AVERAGE(G51:G62)</f>
        <v>947.25</v>
      </c>
      <c r="H63" s="30">
        <f>AVERAGE(H51:H62)</f>
        <v>0.29117500000000002</v>
      </c>
      <c r="I63" s="30">
        <f>AVERAGE(I51:I62)</f>
        <v>0.21732499999999999</v>
      </c>
      <c r="J63" s="30">
        <f>AVERAGE(J51:J62)</f>
        <v>0.32851666666666662</v>
      </c>
      <c r="K63" s="30">
        <f>AVERAGE(K51:K62)</f>
        <v>0.27050000000000002</v>
      </c>
      <c r="L63" s="30">
        <f>AVERAGE(L51:L62)</f>
        <v>0.36890000000000001</v>
      </c>
      <c r="M63" s="30">
        <f>AVERAGE(M51:M62)</f>
        <v>0.30826666666666669</v>
      </c>
      <c r="N63" s="30">
        <f>AVERAGE(N51:N62)</f>
        <v>0.70235000000000003</v>
      </c>
      <c r="O63" s="30">
        <f>AVERAGE(O51:O62)</f>
        <v>0.59977500000000006</v>
      </c>
      <c r="P63" s="30">
        <f>AVERAGE(P51:P62)</f>
        <v>0.89283333333333348</v>
      </c>
      <c r="Q63" s="30">
        <f>AVERAGE(Q51:Q62)</f>
        <v>0.83565833333333328</v>
      </c>
    </row>
    <row r="64" spans="6:17" ht="18" x14ac:dyDescent="0.2">
      <c r="F64" s="25" t="s">
        <v>50</v>
      </c>
      <c r="H64" s="17">
        <f>_xlfn.STDEV.P(H51:H62)</f>
        <v>9.2256735300645029E-2</v>
      </c>
      <c r="I64" s="17">
        <f>_xlfn.STDEV.P(I51:I62)</f>
        <v>6.744041969274317E-2</v>
      </c>
      <c r="J64" s="17">
        <f>_xlfn.STDEV.P(J51:J62)</f>
        <v>7.3271320370857942E-2</v>
      </c>
      <c r="K64" s="17">
        <f>_xlfn.STDEV.P(K51:K62)</f>
        <v>6.408776534305631E-2</v>
      </c>
      <c r="L64" s="17">
        <f>_xlfn.STDEV.P(L51:L62)</f>
        <v>8.0620200115521151E-2</v>
      </c>
      <c r="M64" s="17">
        <f>_xlfn.STDEV.P(M51:M62)</f>
        <v>6.5009119018454173E-2</v>
      </c>
      <c r="N64" s="17">
        <f>_xlfn.STDEV.P(N51:N62)</f>
        <v>3.3585574780452002E-2</v>
      </c>
      <c r="O64" s="17">
        <f>_xlfn.STDEV.P(O51:O62)</f>
        <v>3.6013819685411508E-2</v>
      </c>
      <c r="P64" s="17">
        <f>_xlfn.STDEV.P(P51:P62)</f>
        <v>3.4549151782480712E-2</v>
      </c>
      <c r="Q64" s="17">
        <f>_xlfn.STDEV.P(Q51:Q62)</f>
        <v>5.0979202595001619E-2</v>
      </c>
    </row>
    <row r="66" spans="6:17" x14ac:dyDescent="0.2">
      <c r="F66" s="17" t="s">
        <v>51</v>
      </c>
    </row>
    <row r="68" spans="6:17" ht="18" x14ac:dyDescent="0.2">
      <c r="F68" s="21" t="s">
        <v>38</v>
      </c>
      <c r="G68" s="21"/>
      <c r="H68" s="21" t="s">
        <v>39</v>
      </c>
      <c r="I68" s="21"/>
      <c r="J68" s="21"/>
      <c r="K68" s="21"/>
      <c r="L68" s="21" t="s">
        <v>40</v>
      </c>
      <c r="M68" s="21"/>
      <c r="N68" s="21"/>
      <c r="O68" s="21"/>
      <c r="P68" s="21" t="s">
        <v>41</v>
      </c>
      <c r="Q68" s="21"/>
    </row>
    <row r="69" spans="6:17" ht="18" x14ac:dyDescent="0.2">
      <c r="F69" s="22"/>
      <c r="G69" s="22"/>
      <c r="H69" s="22" t="s">
        <v>42</v>
      </c>
      <c r="I69" s="22"/>
      <c r="J69" s="22" t="s">
        <v>43</v>
      </c>
      <c r="K69" s="22"/>
      <c r="L69" s="22" t="s">
        <v>44</v>
      </c>
      <c r="M69" s="22"/>
      <c r="N69" s="22" t="s">
        <v>45</v>
      </c>
      <c r="O69" s="22"/>
      <c r="P69" s="22"/>
      <c r="Q69" s="22"/>
    </row>
    <row r="70" spans="6:17" ht="18" x14ac:dyDescent="0.2">
      <c r="F70" s="23" t="s">
        <v>46</v>
      </c>
      <c r="G70" s="23" t="s">
        <v>47</v>
      </c>
      <c r="H70" s="24" t="s">
        <v>48</v>
      </c>
      <c r="I70" s="24" t="s">
        <v>49</v>
      </c>
      <c r="J70" s="24" t="s">
        <v>48</v>
      </c>
      <c r="K70" s="24" t="s">
        <v>49</v>
      </c>
      <c r="L70" s="24" t="s">
        <v>48</v>
      </c>
      <c r="M70" s="24" t="s">
        <v>49</v>
      </c>
      <c r="N70" s="24" t="s">
        <v>48</v>
      </c>
      <c r="O70" s="24" t="s">
        <v>49</v>
      </c>
      <c r="P70" s="24" t="s">
        <v>48</v>
      </c>
      <c r="Q70" s="24" t="s">
        <v>49</v>
      </c>
    </row>
    <row r="71" spans="6:17" ht="18" x14ac:dyDescent="0.2">
      <c r="F71" s="25" t="s">
        <v>4</v>
      </c>
      <c r="G71" s="25">
        <v>398</v>
      </c>
      <c r="H71" s="31">
        <v>0.44409999999999999</v>
      </c>
      <c r="I71" s="31">
        <v>0.42709999999999998</v>
      </c>
      <c r="J71" s="31">
        <v>0.59550000000000003</v>
      </c>
      <c r="K71" s="31">
        <v>0.55530000000000002</v>
      </c>
      <c r="L71" s="31">
        <v>0.36359999999999998</v>
      </c>
      <c r="M71" s="31">
        <v>0.34670000000000001</v>
      </c>
      <c r="N71" s="31">
        <v>0.91920000000000002</v>
      </c>
      <c r="O71" s="31">
        <v>0.89449999999999996</v>
      </c>
      <c r="P71" s="31">
        <v>0.93579999999999997</v>
      </c>
      <c r="Q71" s="31">
        <v>0.91710000000000003</v>
      </c>
    </row>
    <row r="72" spans="6:17" ht="18" x14ac:dyDescent="0.2">
      <c r="F72" s="25" t="s">
        <v>9</v>
      </c>
      <c r="G72" s="25">
        <v>182</v>
      </c>
      <c r="H72" s="31">
        <v>0.15060000000000001</v>
      </c>
      <c r="I72" s="31">
        <v>0.13739999999999999</v>
      </c>
      <c r="J72" s="31">
        <v>0.31979999999999997</v>
      </c>
      <c r="K72" s="31">
        <v>0.26919999999999999</v>
      </c>
      <c r="L72" s="31">
        <v>0.23580000000000001</v>
      </c>
      <c r="M72" s="31">
        <v>0.2198</v>
      </c>
      <c r="N72" s="31">
        <v>0.75929999999999997</v>
      </c>
      <c r="O72" s="31">
        <v>0.73080000000000001</v>
      </c>
      <c r="P72" s="31">
        <v>0.91949999999999998</v>
      </c>
      <c r="Q72" s="31">
        <v>0.87360000000000004</v>
      </c>
    </row>
    <row r="73" spans="6:17" ht="18" x14ac:dyDescent="0.2">
      <c r="F73" s="25" t="s">
        <v>3</v>
      </c>
      <c r="G73" s="25">
        <v>456</v>
      </c>
      <c r="H73" s="31">
        <v>0.2671</v>
      </c>
      <c r="I73" s="31">
        <v>0.25440000000000002</v>
      </c>
      <c r="J73" s="31">
        <v>0.44629999999999997</v>
      </c>
      <c r="K73" s="31">
        <v>0.40350000000000003</v>
      </c>
      <c r="L73" s="31">
        <v>0.46089999999999998</v>
      </c>
      <c r="M73" s="31">
        <v>0.43859999999999999</v>
      </c>
      <c r="N73" s="31">
        <v>0.84770000000000001</v>
      </c>
      <c r="O73" s="31">
        <v>0.80259999999999998</v>
      </c>
      <c r="P73" s="31">
        <v>0.85750000000000004</v>
      </c>
      <c r="Q73" s="31">
        <v>0.8004</v>
      </c>
    </row>
    <row r="74" spans="6:17" ht="18" x14ac:dyDescent="0.2">
      <c r="F74" s="25" t="s">
        <v>8</v>
      </c>
      <c r="G74" s="25">
        <v>174</v>
      </c>
      <c r="H74" s="31">
        <v>0.37059999999999998</v>
      </c>
      <c r="I74" s="31">
        <v>0.33910000000000001</v>
      </c>
      <c r="J74" s="31">
        <v>0.55549999999999999</v>
      </c>
      <c r="K74" s="31">
        <v>0.48849999999999999</v>
      </c>
      <c r="L74" s="31">
        <v>0.52849999999999997</v>
      </c>
      <c r="M74" s="31">
        <v>0.48280000000000001</v>
      </c>
      <c r="N74" s="31">
        <v>0.76759999999999995</v>
      </c>
      <c r="O74" s="31">
        <v>0.72989999999999999</v>
      </c>
      <c r="P74" s="31">
        <v>0.94140000000000001</v>
      </c>
      <c r="Q74" s="31">
        <v>0.91379999999999995</v>
      </c>
    </row>
    <row r="75" spans="6:17" ht="18" x14ac:dyDescent="0.2">
      <c r="F75" s="25" t="s">
        <v>13</v>
      </c>
      <c r="G75" s="25">
        <v>428</v>
      </c>
      <c r="H75" s="31">
        <v>0.33800000000000002</v>
      </c>
      <c r="I75" s="31">
        <v>0.32940000000000003</v>
      </c>
      <c r="J75" s="31">
        <v>0.4118</v>
      </c>
      <c r="K75" s="31">
        <v>0.39489999999999997</v>
      </c>
      <c r="L75" s="31">
        <v>0.4592</v>
      </c>
      <c r="M75" s="31">
        <v>0.4486</v>
      </c>
      <c r="N75" s="31">
        <v>0.82769999999999999</v>
      </c>
      <c r="O75" s="31">
        <v>0.79910000000000003</v>
      </c>
      <c r="P75" s="31">
        <v>0.91139999999999999</v>
      </c>
      <c r="Q75" s="31">
        <v>0.89249999999999996</v>
      </c>
    </row>
    <row r="76" spans="6:17" ht="18" x14ac:dyDescent="0.2">
      <c r="F76" s="25" t="s">
        <v>7</v>
      </c>
      <c r="G76" s="25">
        <v>706</v>
      </c>
      <c r="H76" s="31">
        <v>0.2923</v>
      </c>
      <c r="I76" s="31">
        <v>0.28749999999999998</v>
      </c>
      <c r="J76" s="31">
        <v>0.5413</v>
      </c>
      <c r="K76" s="31">
        <v>0.52270000000000005</v>
      </c>
      <c r="L76" s="31">
        <v>0.48270000000000002</v>
      </c>
      <c r="M76" s="31">
        <v>0.4632</v>
      </c>
      <c r="N76" s="31">
        <v>0.88900000000000001</v>
      </c>
      <c r="O76" s="31">
        <v>0.85550000000000004</v>
      </c>
      <c r="P76" s="31">
        <v>0.93110000000000004</v>
      </c>
      <c r="Q76" s="31">
        <v>0.9093</v>
      </c>
    </row>
    <row r="77" spans="6:17" ht="18" x14ac:dyDescent="0.2">
      <c r="F77" s="25" t="s">
        <v>5</v>
      </c>
      <c r="G77" s="25">
        <v>398</v>
      </c>
      <c r="H77" s="31">
        <v>0.1406</v>
      </c>
      <c r="I77" s="31">
        <v>0.12809999999999999</v>
      </c>
      <c r="J77" s="31">
        <v>0.43769999999999998</v>
      </c>
      <c r="K77" s="31">
        <v>0.39950000000000002</v>
      </c>
      <c r="L77" s="31">
        <v>0.47089999999999999</v>
      </c>
      <c r="M77" s="31">
        <v>0.45729999999999998</v>
      </c>
      <c r="N77" s="31">
        <v>0.80030000000000001</v>
      </c>
      <c r="O77" s="31">
        <v>0.77139999999999997</v>
      </c>
      <c r="P77" s="31">
        <v>0.95509999999999995</v>
      </c>
      <c r="Q77" s="31">
        <v>0.90949999999999998</v>
      </c>
    </row>
    <row r="78" spans="6:17" ht="18" x14ac:dyDescent="0.2">
      <c r="F78" s="25" t="s">
        <v>10</v>
      </c>
      <c r="G78" s="25">
        <v>411</v>
      </c>
      <c r="H78" s="31">
        <v>0.56200000000000006</v>
      </c>
      <c r="I78" s="31">
        <v>0.55959999999999999</v>
      </c>
      <c r="J78" s="31">
        <v>0.60860000000000003</v>
      </c>
      <c r="K78" s="31">
        <v>0.59609999999999996</v>
      </c>
      <c r="L78" s="31">
        <v>0.48110000000000003</v>
      </c>
      <c r="M78" s="31">
        <v>0.46960000000000002</v>
      </c>
      <c r="N78" s="31">
        <v>0.81569999999999998</v>
      </c>
      <c r="O78" s="31">
        <v>0.79810000000000003</v>
      </c>
      <c r="P78" s="31">
        <v>0.92669999999999997</v>
      </c>
      <c r="Q78" s="31">
        <v>0.90269999999999995</v>
      </c>
    </row>
    <row r="79" spans="6:17" ht="18" x14ac:dyDescent="0.2">
      <c r="F79" s="25" t="s">
        <v>2</v>
      </c>
      <c r="G79" s="25">
        <v>187</v>
      </c>
      <c r="H79" s="31">
        <v>0.31819999999999998</v>
      </c>
      <c r="I79" s="31">
        <v>0.30480000000000002</v>
      </c>
      <c r="J79" s="31">
        <v>0.4602</v>
      </c>
      <c r="K79" s="31">
        <v>0.42780000000000001</v>
      </c>
      <c r="L79" s="31">
        <v>0.37030000000000002</v>
      </c>
      <c r="M79" s="31">
        <v>0.35289999999999999</v>
      </c>
      <c r="N79" s="31">
        <v>0.94169999999999998</v>
      </c>
      <c r="O79" s="31">
        <v>0.87170000000000003</v>
      </c>
      <c r="P79" s="31">
        <v>0.96040000000000003</v>
      </c>
      <c r="Q79" s="31">
        <v>0.94120000000000004</v>
      </c>
    </row>
    <row r="80" spans="6:17" ht="18" x14ac:dyDescent="0.2">
      <c r="F80" s="25" t="s">
        <v>6</v>
      </c>
      <c r="G80" s="25">
        <v>510</v>
      </c>
      <c r="H80" s="31">
        <v>0.16830000000000001</v>
      </c>
      <c r="I80" s="31">
        <v>0.15290000000000001</v>
      </c>
      <c r="J80" s="31">
        <v>0.31009999999999999</v>
      </c>
      <c r="K80" s="31">
        <v>0.27250000000000002</v>
      </c>
      <c r="L80" s="31">
        <v>0.41020000000000001</v>
      </c>
      <c r="M80" s="31">
        <v>0.38819999999999999</v>
      </c>
      <c r="N80" s="31">
        <v>0.78800000000000003</v>
      </c>
      <c r="O80" s="31">
        <v>0.72750000000000004</v>
      </c>
      <c r="P80" s="31">
        <v>0.92490000000000006</v>
      </c>
      <c r="Q80" s="31">
        <v>0.88629999999999998</v>
      </c>
    </row>
    <row r="81" spans="6:17" ht="18" x14ac:dyDescent="0.2">
      <c r="F81" s="25" t="s">
        <v>11</v>
      </c>
      <c r="G81" s="25">
        <v>717</v>
      </c>
      <c r="H81" s="31">
        <v>0.42549999999999999</v>
      </c>
      <c r="I81" s="31">
        <v>0.41839999999999999</v>
      </c>
      <c r="J81" s="31">
        <v>0.60680000000000001</v>
      </c>
      <c r="K81" s="31">
        <v>0.59</v>
      </c>
      <c r="L81" s="31">
        <v>0.48509999999999998</v>
      </c>
      <c r="M81" s="31">
        <v>0.46860000000000002</v>
      </c>
      <c r="N81" s="31">
        <v>0.8024</v>
      </c>
      <c r="O81" s="31">
        <v>0.7782</v>
      </c>
      <c r="P81" s="31">
        <v>0.93910000000000005</v>
      </c>
      <c r="Q81" s="31">
        <v>0.91910000000000003</v>
      </c>
    </row>
    <row r="82" spans="6:17" ht="18" x14ac:dyDescent="0.2">
      <c r="F82" s="27" t="s">
        <v>12</v>
      </c>
      <c r="G82" s="27">
        <v>228</v>
      </c>
      <c r="H82" s="30">
        <v>0.1447</v>
      </c>
      <c r="I82" s="30">
        <v>0.1447</v>
      </c>
      <c r="J82" s="30">
        <v>0.59340000000000004</v>
      </c>
      <c r="K82" s="30">
        <v>0.57889999999999997</v>
      </c>
      <c r="L82" s="30">
        <v>0.27100000000000002</v>
      </c>
      <c r="M82" s="30">
        <v>0.26750000000000002</v>
      </c>
      <c r="N82" s="30">
        <v>0.81440000000000001</v>
      </c>
      <c r="O82" s="30">
        <v>0.78949999999999998</v>
      </c>
      <c r="P82" s="30">
        <v>0.93369999999999997</v>
      </c>
      <c r="Q82" s="30">
        <v>0.88160000000000005</v>
      </c>
    </row>
    <row r="83" spans="6:17" ht="18" x14ac:dyDescent="0.2">
      <c r="F83" s="23" t="s">
        <v>23</v>
      </c>
      <c r="G83" s="29">
        <f>AVERAGE(G71:G82)</f>
        <v>399.58333333333331</v>
      </c>
      <c r="H83" s="30">
        <f>AVERAGE(H71:H82)</f>
        <v>0.30183333333333329</v>
      </c>
      <c r="I83" s="30">
        <f>AVERAGE(I71:I82)</f>
        <v>0.29028333333333334</v>
      </c>
      <c r="J83" s="30">
        <f>AVERAGE(J71:J82)</f>
        <v>0.49058333333333337</v>
      </c>
      <c r="K83" s="30">
        <f>AVERAGE(K71:K82)</f>
        <v>0.45824166666666666</v>
      </c>
      <c r="L83" s="30">
        <f>AVERAGE(L71:L82)</f>
        <v>0.41827499999999995</v>
      </c>
      <c r="M83" s="30">
        <f>AVERAGE(M71:M82)</f>
        <v>0.40031666666666671</v>
      </c>
      <c r="N83" s="30">
        <f>AVERAGE(N71:N82)</f>
        <v>0.83108333333333329</v>
      </c>
      <c r="O83" s="30">
        <f>AVERAGE(O71:O82)</f>
        <v>0.79573333333333329</v>
      </c>
      <c r="P83" s="30">
        <f>AVERAGE(P71:P82)</f>
        <v>0.92804999999999993</v>
      </c>
      <c r="Q83" s="30">
        <f>AVERAGE(Q71:Q82)</f>
        <v>0.89559166666666679</v>
      </c>
    </row>
    <row r="84" spans="6:17" ht="18" x14ac:dyDescent="0.2">
      <c r="F84" s="25" t="s">
        <v>50</v>
      </c>
      <c r="H84" s="17">
        <f>_xlfn.STDEV.P(H71:H82)</f>
        <v>0.12981131392225509</v>
      </c>
      <c r="I84" s="17">
        <f>_xlfn.STDEV.P(I71:I82)</f>
        <v>0.1300092486026368</v>
      </c>
      <c r="J84" s="17">
        <f>_xlfn.STDEV.P(J71:J82)</f>
        <v>0.10385413515546137</v>
      </c>
      <c r="K84" s="17">
        <f>_xlfn.STDEV.P(K71:K82)</f>
        <v>0.11069371751469097</v>
      </c>
      <c r="L84" s="17">
        <f>_xlfn.STDEV.P(L71:L82)</f>
        <v>8.7233901332375768E-2</v>
      </c>
      <c r="M84" s="17">
        <f>_xlfn.STDEV.P(M71:M82)</f>
        <v>8.3046692020546528E-2</v>
      </c>
      <c r="N84" s="17">
        <f>_xlfn.STDEV.P(N71:N82)</f>
        <v>5.5502985405191392E-2</v>
      </c>
      <c r="O84" s="17">
        <f>_xlfn.STDEV.P(O71:O82)</f>
        <v>5.2683383422943604E-2</v>
      </c>
      <c r="P84" s="17">
        <f>_xlfn.STDEV.P(P71:P82)</f>
        <v>2.5031996191541197E-2</v>
      </c>
      <c r="Q84" s="17">
        <f>_xlfn.STDEV.P(Q71:Q82)</f>
        <v>3.3783069189889908E-2</v>
      </c>
    </row>
    <row r="86" spans="6:17" x14ac:dyDescent="0.2">
      <c r="F86" s="17" t="s">
        <v>52</v>
      </c>
    </row>
    <row r="88" spans="6:17" ht="18" x14ac:dyDescent="0.2">
      <c r="F88" s="21" t="s">
        <v>38</v>
      </c>
      <c r="G88" s="21"/>
      <c r="H88" s="21" t="s">
        <v>39</v>
      </c>
      <c r="I88" s="21"/>
      <c r="J88" s="21"/>
      <c r="K88" s="21"/>
      <c r="L88" s="21" t="s">
        <v>40</v>
      </c>
      <c r="M88" s="21"/>
      <c r="N88" s="21"/>
      <c r="O88" s="21"/>
      <c r="P88" s="21" t="s">
        <v>41</v>
      </c>
      <c r="Q88" s="21"/>
    </row>
    <row r="89" spans="6:17" ht="18" x14ac:dyDescent="0.2">
      <c r="F89" s="22"/>
      <c r="G89" s="22"/>
      <c r="H89" s="22" t="s">
        <v>42</v>
      </c>
      <c r="I89" s="22"/>
      <c r="J89" s="22" t="s">
        <v>43</v>
      </c>
      <c r="K89" s="22"/>
      <c r="L89" s="22" t="s">
        <v>44</v>
      </c>
      <c r="M89" s="22"/>
      <c r="N89" s="22" t="s">
        <v>45</v>
      </c>
      <c r="O89" s="22"/>
      <c r="P89" s="22"/>
      <c r="Q89" s="22"/>
    </row>
    <row r="90" spans="6:17" ht="18" x14ac:dyDescent="0.2">
      <c r="F90" s="23" t="s">
        <v>46</v>
      </c>
      <c r="G90" s="23" t="s">
        <v>47</v>
      </c>
      <c r="H90" s="24" t="s">
        <v>48</v>
      </c>
      <c r="I90" s="24" t="s">
        <v>49</v>
      </c>
      <c r="J90" s="24" t="s">
        <v>48</v>
      </c>
      <c r="K90" s="24" t="s">
        <v>49</v>
      </c>
      <c r="L90" s="24" t="s">
        <v>48</v>
      </c>
      <c r="M90" s="24" t="s">
        <v>49</v>
      </c>
      <c r="N90" s="24" t="s">
        <v>48</v>
      </c>
      <c r="O90" s="24" t="s">
        <v>49</v>
      </c>
      <c r="P90" s="24" t="s">
        <v>48</v>
      </c>
      <c r="Q90" s="24" t="s">
        <v>49</v>
      </c>
    </row>
    <row r="91" spans="6:17" ht="18" x14ac:dyDescent="0.2">
      <c r="F91" s="25" t="s">
        <v>4</v>
      </c>
      <c r="G91" s="25">
        <v>42</v>
      </c>
      <c r="H91" s="31">
        <v>0.1512</v>
      </c>
      <c r="I91" s="31">
        <v>0</v>
      </c>
      <c r="J91" s="31">
        <v>0.4158</v>
      </c>
      <c r="K91" s="31">
        <v>4.7600000000000003E-2</v>
      </c>
      <c r="L91" s="31">
        <v>4.2900000000000001E-2</v>
      </c>
      <c r="M91" s="31">
        <v>0</v>
      </c>
      <c r="N91" s="31">
        <v>0.42230000000000001</v>
      </c>
      <c r="O91" s="31">
        <v>4.7600000000000003E-2</v>
      </c>
      <c r="P91" s="31">
        <v>0.80459999999999998</v>
      </c>
      <c r="Q91" s="31">
        <v>0.54759999999999998</v>
      </c>
    </row>
    <row r="92" spans="6:17" ht="18" x14ac:dyDescent="0.2">
      <c r="F92" s="25" t="s">
        <v>9</v>
      </c>
      <c r="G92" s="25">
        <v>21</v>
      </c>
      <c r="H92" s="31">
        <v>2.47E-2</v>
      </c>
      <c r="I92" s="31">
        <v>0</v>
      </c>
      <c r="J92" s="31">
        <v>0.18049999999999999</v>
      </c>
      <c r="K92" s="31">
        <v>4.7600000000000003E-2</v>
      </c>
      <c r="L92" s="31">
        <v>9.7000000000000003E-3</v>
      </c>
      <c r="M92" s="31">
        <v>0</v>
      </c>
      <c r="N92" s="31">
        <v>0.55259999999999998</v>
      </c>
      <c r="O92" s="31">
        <v>0</v>
      </c>
      <c r="P92" s="31">
        <v>0.90110000000000001</v>
      </c>
      <c r="Q92" s="31">
        <v>0.76190000000000002</v>
      </c>
    </row>
    <row r="93" spans="6:17" ht="18" x14ac:dyDescent="0.2">
      <c r="F93" s="25" t="s">
        <v>3</v>
      </c>
      <c r="G93" s="25">
        <v>43</v>
      </c>
      <c r="H93" s="31">
        <v>0.12609999999999999</v>
      </c>
      <c r="I93" s="31">
        <v>0</v>
      </c>
      <c r="J93" s="31">
        <v>0.44800000000000001</v>
      </c>
      <c r="K93" s="31">
        <v>0.20930000000000001</v>
      </c>
      <c r="L93" s="31">
        <v>0.28170000000000001</v>
      </c>
      <c r="M93" s="31">
        <v>0.1163</v>
      </c>
      <c r="N93" s="31">
        <v>0.4002</v>
      </c>
      <c r="O93" s="31">
        <v>4.65E-2</v>
      </c>
      <c r="P93" s="31">
        <v>0.67379999999999995</v>
      </c>
      <c r="Q93" s="31">
        <v>0.4884</v>
      </c>
    </row>
    <row r="94" spans="6:17" ht="18" x14ac:dyDescent="0.2">
      <c r="F94" s="25" t="s">
        <v>8</v>
      </c>
      <c r="G94" s="25">
        <v>9</v>
      </c>
      <c r="H94" s="31">
        <v>1.3100000000000001E-2</v>
      </c>
      <c r="I94" s="31">
        <v>0</v>
      </c>
      <c r="J94" s="31">
        <v>0.19070000000000001</v>
      </c>
      <c r="K94" s="31">
        <v>0</v>
      </c>
      <c r="L94" s="31">
        <v>0.51980000000000004</v>
      </c>
      <c r="M94" s="31">
        <v>0.1111</v>
      </c>
      <c r="N94" s="31">
        <v>0.58030000000000004</v>
      </c>
      <c r="O94" s="31">
        <v>0</v>
      </c>
      <c r="P94" s="31">
        <v>0.84260000000000002</v>
      </c>
      <c r="Q94" s="31">
        <v>0.77780000000000005</v>
      </c>
    </row>
    <row r="95" spans="6:17" ht="18" x14ac:dyDescent="0.2">
      <c r="F95" s="25" t="s">
        <v>13</v>
      </c>
      <c r="G95" s="25">
        <v>4</v>
      </c>
      <c r="H95" s="31">
        <v>0.39150000000000001</v>
      </c>
      <c r="I95" s="31">
        <v>0</v>
      </c>
      <c r="J95" s="31">
        <v>0.6542</v>
      </c>
      <c r="K95" s="31">
        <v>0.25</v>
      </c>
      <c r="L95" s="31">
        <v>0.71250000000000002</v>
      </c>
      <c r="M95" s="31">
        <v>0.5</v>
      </c>
      <c r="N95" s="31">
        <v>0.52500000000000002</v>
      </c>
      <c r="O95" s="31">
        <v>0</v>
      </c>
      <c r="P95" s="31">
        <v>0.83750000000000002</v>
      </c>
      <c r="Q95" s="31">
        <v>0.5</v>
      </c>
    </row>
    <row r="96" spans="6:17" ht="18" x14ac:dyDescent="0.2">
      <c r="F96" s="25" t="s">
        <v>7</v>
      </c>
      <c r="G96" s="25">
        <v>81</v>
      </c>
      <c r="H96" s="31">
        <v>9.8000000000000004E-2</v>
      </c>
      <c r="I96" s="31">
        <v>0</v>
      </c>
      <c r="J96" s="31">
        <v>0.28420000000000001</v>
      </c>
      <c r="K96" s="31">
        <v>6.1699999999999998E-2</v>
      </c>
      <c r="L96" s="31">
        <v>0.23419999999999999</v>
      </c>
      <c r="M96" s="31">
        <v>9.8799999999999999E-2</v>
      </c>
      <c r="N96" s="31">
        <v>0.40960000000000002</v>
      </c>
      <c r="O96" s="31">
        <v>4.9399999999999999E-2</v>
      </c>
      <c r="P96" s="31">
        <v>0.67</v>
      </c>
      <c r="Q96" s="31">
        <v>0.43209999999999998</v>
      </c>
    </row>
    <row r="97" spans="6:17" ht="18" x14ac:dyDescent="0.2">
      <c r="F97" s="25" t="s">
        <v>5</v>
      </c>
      <c r="G97" s="25">
        <v>25</v>
      </c>
      <c r="H97" s="31">
        <v>8.3299999999999999E-2</v>
      </c>
      <c r="I97" s="31">
        <v>0</v>
      </c>
      <c r="J97" s="31">
        <v>0.63529999999999998</v>
      </c>
      <c r="K97" s="31">
        <v>0.32</v>
      </c>
      <c r="L97" s="31">
        <v>0.27660000000000001</v>
      </c>
      <c r="M97" s="31">
        <v>0.12</v>
      </c>
      <c r="N97" s="31">
        <v>0.4592</v>
      </c>
      <c r="O97" s="31">
        <v>0.08</v>
      </c>
      <c r="P97" s="31">
        <v>0.86550000000000005</v>
      </c>
      <c r="Q97" s="31">
        <v>0.68</v>
      </c>
    </row>
    <row r="98" spans="6:17" ht="18" x14ac:dyDescent="0.2">
      <c r="F98" s="25" t="s">
        <v>10</v>
      </c>
      <c r="G98" s="25">
        <v>18</v>
      </c>
      <c r="H98" s="31">
        <v>0.13539999999999999</v>
      </c>
      <c r="I98" s="31">
        <v>0</v>
      </c>
      <c r="J98" s="31">
        <v>0.29780000000000001</v>
      </c>
      <c r="K98" s="31">
        <v>5.5599999999999997E-2</v>
      </c>
      <c r="L98" s="31">
        <v>9.5799999999999996E-2</v>
      </c>
      <c r="M98" s="31">
        <v>5.5599999999999997E-2</v>
      </c>
      <c r="N98" s="31">
        <v>0.33079999999999998</v>
      </c>
      <c r="O98" s="31">
        <v>0</v>
      </c>
      <c r="P98" s="31">
        <v>0.52259999999999995</v>
      </c>
      <c r="Q98" s="31">
        <v>0.22220000000000001</v>
      </c>
    </row>
    <row r="99" spans="6:17" ht="18" x14ac:dyDescent="0.2">
      <c r="F99" s="25" t="s">
        <v>2</v>
      </c>
      <c r="G99" s="25">
        <v>4</v>
      </c>
      <c r="H99" s="31">
        <v>7.4000000000000003E-3</v>
      </c>
      <c r="I99" s="31">
        <v>0</v>
      </c>
      <c r="J99" s="31">
        <v>0.19489999999999999</v>
      </c>
      <c r="K99" s="31">
        <v>0</v>
      </c>
      <c r="L99" s="31">
        <v>0</v>
      </c>
      <c r="M99" s="31">
        <v>0</v>
      </c>
      <c r="N99" s="31">
        <v>0.59589999999999999</v>
      </c>
      <c r="O99" s="31">
        <v>0.25</v>
      </c>
      <c r="P99" s="31">
        <v>0.89580000000000004</v>
      </c>
      <c r="Q99" s="31">
        <v>0.75</v>
      </c>
    </row>
    <row r="100" spans="6:17" ht="18" x14ac:dyDescent="0.2">
      <c r="F100" s="25" t="s">
        <v>6</v>
      </c>
      <c r="G100" s="25">
        <v>110</v>
      </c>
      <c r="H100" s="31">
        <v>5.8500000000000003E-2</v>
      </c>
      <c r="I100" s="31">
        <v>0</v>
      </c>
      <c r="J100" s="31">
        <v>0.22059999999999999</v>
      </c>
      <c r="K100" s="31">
        <v>0.1091</v>
      </c>
      <c r="L100" s="31">
        <v>0.18940000000000001</v>
      </c>
      <c r="M100" s="31">
        <v>4.5499999999999999E-2</v>
      </c>
      <c r="N100" s="31">
        <v>0.42330000000000001</v>
      </c>
      <c r="O100" s="31">
        <v>5.45E-2</v>
      </c>
      <c r="P100" s="31">
        <v>0.89790000000000003</v>
      </c>
      <c r="Q100" s="31">
        <v>0.84550000000000003</v>
      </c>
    </row>
    <row r="101" spans="6:17" ht="18" x14ac:dyDescent="0.2">
      <c r="F101" s="25" t="s">
        <v>11</v>
      </c>
      <c r="G101" s="25">
        <v>42</v>
      </c>
      <c r="H101" s="31">
        <v>9.6299999999999997E-2</v>
      </c>
      <c r="I101" s="31">
        <v>0</v>
      </c>
      <c r="J101" s="31">
        <v>0.32640000000000002</v>
      </c>
      <c r="K101" s="31">
        <v>0.16669999999999999</v>
      </c>
      <c r="L101" s="31">
        <v>0.22869999999999999</v>
      </c>
      <c r="M101" s="31">
        <v>9.5200000000000007E-2</v>
      </c>
      <c r="N101" s="31">
        <v>0.4168</v>
      </c>
      <c r="O101" s="31">
        <v>4.7600000000000003E-2</v>
      </c>
      <c r="P101" s="31">
        <v>0.63700000000000001</v>
      </c>
      <c r="Q101" s="31">
        <v>0.35709999999999997</v>
      </c>
    </row>
    <row r="102" spans="6:17" ht="18" x14ac:dyDescent="0.2">
      <c r="F102" s="27" t="s">
        <v>12</v>
      </c>
      <c r="G102" s="27">
        <v>12</v>
      </c>
      <c r="H102" s="30">
        <v>0.26490000000000002</v>
      </c>
      <c r="I102" s="30">
        <v>0</v>
      </c>
      <c r="J102" s="30">
        <v>0.63590000000000002</v>
      </c>
      <c r="K102" s="30">
        <v>8.3299999999999999E-2</v>
      </c>
      <c r="L102" s="30">
        <v>0.13320000000000001</v>
      </c>
      <c r="M102" s="30">
        <v>0</v>
      </c>
      <c r="N102" s="30">
        <v>0.42759999999999998</v>
      </c>
      <c r="O102" s="30">
        <v>0</v>
      </c>
      <c r="P102" s="30">
        <v>0.63360000000000005</v>
      </c>
      <c r="Q102" s="30">
        <v>0.58330000000000004</v>
      </c>
    </row>
    <row r="103" spans="6:17" ht="18" x14ac:dyDescent="0.2">
      <c r="F103" s="23" t="s">
        <v>23</v>
      </c>
      <c r="G103" s="29">
        <f>AVERAGE(G91:G102)</f>
        <v>34.25</v>
      </c>
      <c r="H103" s="30">
        <f>AVERAGE(H91:H102)</f>
        <v>0.12086666666666668</v>
      </c>
      <c r="I103" s="30">
        <f>AVERAGE(I91:I102)</f>
        <v>0</v>
      </c>
      <c r="J103" s="30">
        <f>AVERAGE(J91:J102)</f>
        <v>0.3736916666666667</v>
      </c>
      <c r="K103" s="30">
        <f>AVERAGE(K91:K102)</f>
        <v>0.11257499999999999</v>
      </c>
      <c r="L103" s="30">
        <f>AVERAGE(L91:L102)</f>
        <v>0.2270416666666667</v>
      </c>
      <c r="M103" s="30">
        <f>AVERAGE(M91:M102)</f>
        <v>9.5208333333333339E-2</v>
      </c>
      <c r="N103" s="30">
        <f>AVERAGE(N91:N102)</f>
        <v>0.46196666666666669</v>
      </c>
      <c r="O103" s="30">
        <f>AVERAGE(O91:O102)</f>
        <v>4.7966666666666664E-2</v>
      </c>
      <c r="P103" s="30">
        <f>AVERAGE(P91:P102)</f>
        <v>0.76516666666666666</v>
      </c>
      <c r="Q103" s="30">
        <f>AVERAGE(Q91:Q102)</f>
        <v>0.57882500000000003</v>
      </c>
    </row>
    <row r="104" spans="6:17" ht="18" x14ac:dyDescent="0.2">
      <c r="F104" s="25" t="s">
        <v>50</v>
      </c>
      <c r="H104" s="17">
        <f>_xlfn.STDEV.P(H91:H102)</f>
        <v>0.10618786287623562</v>
      </c>
      <c r="I104" s="17">
        <f>_xlfn.STDEV.P(I91:I102)</f>
        <v>0</v>
      </c>
      <c r="J104" s="17">
        <f>_xlfn.STDEV.P(J91:J102)</f>
        <v>0.17449670225314359</v>
      </c>
      <c r="K104" s="17">
        <f>_xlfn.STDEV.P(K91:K102)</f>
        <v>9.7762161434439082E-2</v>
      </c>
      <c r="L104" s="17">
        <f>_xlfn.STDEV.P(L91:L102)</f>
        <v>0.20145632056905594</v>
      </c>
      <c r="M104" s="17">
        <f>_xlfn.STDEV.P(M91:M102)</f>
        <v>0.13085598609625096</v>
      </c>
      <c r="N104" s="17">
        <f>_xlfn.STDEV.P(N91:N102)</f>
        <v>7.8627765805442326E-2</v>
      </c>
      <c r="O104" s="17">
        <f>_xlfn.STDEV.P(O91:O102)</f>
        <v>6.6705051449563318E-2</v>
      </c>
      <c r="P104" s="17">
        <f>_xlfn.STDEV.P(P91:P102)</f>
        <v>0.12449581876066665</v>
      </c>
      <c r="Q104" s="17">
        <f>_xlfn.STDEV.P(Q91:Q102)</f>
        <v>0.18189213894045378</v>
      </c>
    </row>
    <row r="106" spans="6:17" ht="18" x14ac:dyDescent="0.2">
      <c r="F106" s="25"/>
    </row>
    <row r="109" spans="6:17" x14ac:dyDescent="0.2">
      <c r="F109" s="17" t="s">
        <v>53</v>
      </c>
    </row>
    <row r="111" spans="6:17" ht="18" x14ac:dyDescent="0.2">
      <c r="F111" s="21" t="s">
        <v>38</v>
      </c>
      <c r="G111" s="21"/>
      <c r="H111" s="21" t="s">
        <v>39</v>
      </c>
      <c r="I111" s="21"/>
      <c r="J111" s="21"/>
      <c r="K111" s="21"/>
      <c r="L111" s="21" t="s">
        <v>40</v>
      </c>
      <c r="M111" s="21"/>
      <c r="N111" s="21"/>
      <c r="O111" s="21"/>
      <c r="P111" s="21" t="s">
        <v>41</v>
      </c>
      <c r="Q111" s="21"/>
    </row>
    <row r="112" spans="6:17" ht="18" x14ac:dyDescent="0.2">
      <c r="F112" s="22"/>
      <c r="G112" s="22"/>
      <c r="H112" s="22" t="s">
        <v>42</v>
      </c>
      <c r="I112" s="22"/>
      <c r="J112" s="22" t="s">
        <v>43</v>
      </c>
      <c r="K112" s="22"/>
      <c r="L112" s="22" t="s">
        <v>44</v>
      </c>
      <c r="M112" s="22"/>
      <c r="N112" s="22" t="s">
        <v>45</v>
      </c>
      <c r="O112" s="22"/>
      <c r="P112" s="22"/>
      <c r="Q112" s="22"/>
    </row>
    <row r="113" spans="6:17" ht="18" x14ac:dyDescent="0.2">
      <c r="F113" s="23" t="s">
        <v>46</v>
      </c>
      <c r="G113" s="23" t="s">
        <v>47</v>
      </c>
      <c r="H113" s="24" t="s">
        <v>48</v>
      </c>
      <c r="I113" s="24" t="s">
        <v>49</v>
      </c>
      <c r="J113" s="24" t="s">
        <v>48</v>
      </c>
      <c r="K113" s="24" t="s">
        <v>49</v>
      </c>
      <c r="L113" s="24" t="s">
        <v>48</v>
      </c>
      <c r="M113" s="24" t="s">
        <v>49</v>
      </c>
      <c r="N113" s="24" t="s">
        <v>48</v>
      </c>
      <c r="O113" s="24" t="s">
        <v>49</v>
      </c>
      <c r="P113" s="24" t="s">
        <v>48</v>
      </c>
      <c r="Q113" s="24" t="s">
        <v>49</v>
      </c>
    </row>
    <row r="114" spans="6:17" ht="18" x14ac:dyDescent="0.2">
      <c r="F114" s="25" t="s">
        <v>4</v>
      </c>
      <c r="G114" s="25">
        <v>256</v>
      </c>
      <c r="H114" s="31">
        <v>0.2913</v>
      </c>
      <c r="I114" s="31">
        <v>0</v>
      </c>
      <c r="J114" s="31">
        <v>0.13969999999999999</v>
      </c>
      <c r="K114" s="31">
        <v>0</v>
      </c>
      <c r="L114" s="31">
        <v>0.22789999999999999</v>
      </c>
      <c r="M114" s="31">
        <v>0</v>
      </c>
      <c r="N114" s="31">
        <v>0.56599999999999995</v>
      </c>
      <c r="O114" s="31">
        <v>0.31640000000000001</v>
      </c>
      <c r="P114" s="31">
        <v>0.82720000000000005</v>
      </c>
      <c r="Q114" s="31">
        <v>0.71089999999999998</v>
      </c>
    </row>
    <row r="115" spans="6:17" ht="18" x14ac:dyDescent="0.2">
      <c r="F115" s="25" t="s">
        <v>9</v>
      </c>
      <c r="G115" s="25">
        <v>58</v>
      </c>
      <c r="H115" s="31">
        <v>0.2243</v>
      </c>
      <c r="I115" s="31">
        <v>0</v>
      </c>
      <c r="J115" s="31">
        <v>0.1087</v>
      </c>
      <c r="K115" s="31">
        <v>0</v>
      </c>
      <c r="L115" s="31">
        <v>0.1384</v>
      </c>
      <c r="M115" s="31">
        <v>0</v>
      </c>
      <c r="N115" s="31">
        <v>0.52939999999999998</v>
      </c>
      <c r="O115" s="31">
        <v>0.2414</v>
      </c>
      <c r="P115" s="31">
        <v>0.87390000000000001</v>
      </c>
      <c r="Q115" s="31">
        <v>0.74139999999999995</v>
      </c>
    </row>
    <row r="116" spans="6:17" ht="18" x14ac:dyDescent="0.2">
      <c r="F116" s="25" t="s">
        <v>3</v>
      </c>
      <c r="G116" s="25">
        <v>222</v>
      </c>
      <c r="H116" s="31">
        <v>0.2477</v>
      </c>
      <c r="I116" s="31">
        <v>0</v>
      </c>
      <c r="J116" s="31">
        <v>0.1477</v>
      </c>
      <c r="K116" s="31">
        <v>0</v>
      </c>
      <c r="L116" s="31">
        <v>0.30609999999999998</v>
      </c>
      <c r="M116" s="31">
        <v>8.5599999999999996E-2</v>
      </c>
      <c r="N116" s="31">
        <v>0.48880000000000001</v>
      </c>
      <c r="O116" s="31">
        <v>0.15770000000000001</v>
      </c>
      <c r="P116" s="31">
        <v>0.79090000000000005</v>
      </c>
      <c r="Q116" s="31">
        <v>0.62160000000000004</v>
      </c>
    </row>
    <row r="117" spans="6:17" ht="18" x14ac:dyDescent="0.2">
      <c r="F117" s="25" t="s">
        <v>8</v>
      </c>
      <c r="G117" s="25">
        <v>41</v>
      </c>
      <c r="H117" s="31">
        <v>0.42680000000000001</v>
      </c>
      <c r="I117" s="31">
        <v>0</v>
      </c>
      <c r="J117" s="31">
        <v>0.2223</v>
      </c>
      <c r="K117" s="31">
        <v>0</v>
      </c>
      <c r="L117" s="31">
        <v>0.60719999999999996</v>
      </c>
      <c r="M117" s="31">
        <v>4.8800000000000003E-2</v>
      </c>
      <c r="N117" s="31">
        <v>0.72470000000000001</v>
      </c>
      <c r="O117" s="31">
        <v>0</v>
      </c>
      <c r="P117" s="31">
        <v>0.97560000000000002</v>
      </c>
      <c r="Q117" s="31">
        <v>0.97560000000000002</v>
      </c>
    </row>
    <row r="118" spans="6:17" ht="18" x14ac:dyDescent="0.2">
      <c r="F118" s="25" t="s">
        <v>13</v>
      </c>
      <c r="G118" s="25">
        <v>410</v>
      </c>
      <c r="H118" s="31">
        <v>0.2591</v>
      </c>
      <c r="I118" s="31">
        <v>0</v>
      </c>
      <c r="J118" s="31">
        <v>8.14E-2</v>
      </c>
      <c r="K118" s="31">
        <v>0</v>
      </c>
      <c r="L118" s="31">
        <v>0.25580000000000003</v>
      </c>
      <c r="M118" s="31">
        <v>0.13900000000000001</v>
      </c>
      <c r="N118" s="31">
        <v>0.51770000000000005</v>
      </c>
      <c r="O118" s="31">
        <v>0.3049</v>
      </c>
      <c r="P118" s="31">
        <v>0.79269999999999996</v>
      </c>
      <c r="Q118" s="31">
        <v>0.61709999999999998</v>
      </c>
    </row>
    <row r="119" spans="6:17" ht="18" x14ac:dyDescent="0.2">
      <c r="F119" s="25" t="s">
        <v>7</v>
      </c>
      <c r="G119" s="25">
        <v>345</v>
      </c>
      <c r="H119" s="31">
        <v>0.27310000000000001</v>
      </c>
      <c r="I119" s="31">
        <v>0</v>
      </c>
      <c r="J119" s="31">
        <v>0.17330000000000001</v>
      </c>
      <c r="K119" s="31">
        <v>0</v>
      </c>
      <c r="L119" s="31">
        <v>0.30080000000000001</v>
      </c>
      <c r="M119" s="31">
        <v>0.1681</v>
      </c>
      <c r="N119" s="31">
        <v>0.65229999999999999</v>
      </c>
      <c r="O119" s="31">
        <v>0.3826</v>
      </c>
      <c r="P119" s="31">
        <v>0.83650000000000002</v>
      </c>
      <c r="Q119" s="31">
        <v>0.64639999999999997</v>
      </c>
    </row>
    <row r="120" spans="6:17" ht="18" x14ac:dyDescent="0.2">
      <c r="F120" s="25" t="s">
        <v>5</v>
      </c>
      <c r="G120" s="25">
        <v>44</v>
      </c>
      <c r="H120" s="31">
        <v>0.1477</v>
      </c>
      <c r="I120" s="31">
        <v>0</v>
      </c>
      <c r="J120" s="31">
        <v>0.19470000000000001</v>
      </c>
      <c r="K120" s="31">
        <v>0</v>
      </c>
      <c r="L120" s="31">
        <v>0.40439999999999998</v>
      </c>
      <c r="M120" s="31">
        <v>0.20449999999999999</v>
      </c>
      <c r="N120" s="31">
        <v>0.62380000000000002</v>
      </c>
      <c r="O120" s="31">
        <v>0.36359999999999998</v>
      </c>
      <c r="P120" s="31">
        <v>0.82279999999999998</v>
      </c>
      <c r="Q120" s="31">
        <v>0.72729999999999995</v>
      </c>
    </row>
    <row r="121" spans="6:17" ht="18" x14ac:dyDescent="0.2">
      <c r="F121" s="25" t="s">
        <v>10</v>
      </c>
      <c r="G121" s="25">
        <v>931</v>
      </c>
      <c r="H121" s="31">
        <v>0.33589999999999998</v>
      </c>
      <c r="I121" s="31">
        <v>0</v>
      </c>
      <c r="J121" s="31">
        <v>2.5600000000000001E-2</v>
      </c>
      <c r="K121" s="31">
        <v>0</v>
      </c>
      <c r="L121" s="31">
        <v>0.30409999999999998</v>
      </c>
      <c r="M121" s="31">
        <v>0.14610000000000001</v>
      </c>
      <c r="N121" s="31">
        <v>0.61229999999999996</v>
      </c>
      <c r="O121" s="31">
        <v>0.4415</v>
      </c>
      <c r="P121" s="31">
        <v>0.79479999999999995</v>
      </c>
      <c r="Q121" s="31">
        <v>0.68310000000000004</v>
      </c>
    </row>
    <row r="122" spans="6:17" ht="18" x14ac:dyDescent="0.2">
      <c r="F122" s="25" t="s">
        <v>2</v>
      </c>
      <c r="G122" s="25">
        <v>121</v>
      </c>
      <c r="H122" s="31">
        <v>0.23549999999999999</v>
      </c>
      <c r="I122" s="31">
        <v>0</v>
      </c>
      <c r="J122" s="31">
        <v>0.1003</v>
      </c>
      <c r="K122" s="31">
        <v>0</v>
      </c>
      <c r="L122" s="31">
        <v>0.16539999999999999</v>
      </c>
      <c r="M122" s="31">
        <v>0</v>
      </c>
      <c r="N122" s="31">
        <v>0.63900000000000001</v>
      </c>
      <c r="O122" s="31">
        <v>0.37190000000000001</v>
      </c>
      <c r="P122" s="31">
        <v>0.84630000000000005</v>
      </c>
      <c r="Q122" s="31">
        <v>0.67769999999999997</v>
      </c>
    </row>
    <row r="123" spans="6:17" ht="18" x14ac:dyDescent="0.2">
      <c r="F123" s="25" t="s">
        <v>6</v>
      </c>
      <c r="G123" s="25">
        <v>55</v>
      </c>
      <c r="H123" s="31">
        <v>0.34549999999999997</v>
      </c>
      <c r="I123" s="31">
        <v>0</v>
      </c>
      <c r="J123" s="31">
        <v>9.6600000000000005E-2</v>
      </c>
      <c r="K123" s="31">
        <v>0</v>
      </c>
      <c r="L123" s="31">
        <v>0.1308</v>
      </c>
      <c r="M123" s="31">
        <v>3.6400000000000002E-2</v>
      </c>
      <c r="N123" s="31">
        <v>0.73240000000000005</v>
      </c>
      <c r="O123" s="31">
        <v>0.5091</v>
      </c>
      <c r="P123" s="31">
        <v>0.91400000000000003</v>
      </c>
      <c r="Q123" s="31">
        <v>0.83640000000000003</v>
      </c>
    </row>
    <row r="124" spans="6:17" ht="18" x14ac:dyDescent="0.2">
      <c r="F124" s="25" t="s">
        <v>11</v>
      </c>
      <c r="G124" s="25">
        <v>301</v>
      </c>
      <c r="H124" s="31">
        <v>0.2641</v>
      </c>
      <c r="I124" s="31">
        <v>0</v>
      </c>
      <c r="J124" s="31">
        <v>0.1166</v>
      </c>
      <c r="K124" s="31">
        <v>0</v>
      </c>
      <c r="L124" s="31">
        <v>0.33400000000000002</v>
      </c>
      <c r="M124" s="31">
        <v>0.1694</v>
      </c>
      <c r="N124" s="31">
        <v>0.59079999999999999</v>
      </c>
      <c r="O124" s="31">
        <v>0.32890000000000003</v>
      </c>
      <c r="P124" s="31">
        <v>0.83850000000000002</v>
      </c>
      <c r="Q124" s="31">
        <v>0.74750000000000005</v>
      </c>
    </row>
    <row r="125" spans="6:17" ht="18" x14ac:dyDescent="0.2">
      <c r="F125" s="27" t="s">
        <v>12</v>
      </c>
      <c r="G125" s="27">
        <v>159</v>
      </c>
      <c r="H125" s="30">
        <v>7.4899999999999994E-2</v>
      </c>
      <c r="I125" s="30">
        <v>0</v>
      </c>
      <c r="J125" s="30">
        <v>0.1174</v>
      </c>
      <c r="K125" s="30">
        <v>0</v>
      </c>
      <c r="L125" s="30">
        <v>0.188</v>
      </c>
      <c r="M125" s="30">
        <v>3.1399999999999997E-2</v>
      </c>
      <c r="N125" s="30">
        <v>0.6754</v>
      </c>
      <c r="O125" s="30">
        <v>0.45910000000000001</v>
      </c>
      <c r="P125" s="30">
        <v>0.8629</v>
      </c>
      <c r="Q125" s="30">
        <v>0.66669999999999996</v>
      </c>
    </row>
    <row r="126" spans="6:17" ht="18" x14ac:dyDescent="0.2">
      <c r="F126" s="23" t="s">
        <v>23</v>
      </c>
      <c r="G126" s="29">
        <f>AVERAGE(G114:G125)</f>
        <v>245.25</v>
      </c>
      <c r="H126" s="30">
        <f>AVERAGE(H114:H125)</f>
        <v>0.26049166666666668</v>
      </c>
      <c r="I126" s="30">
        <f>AVERAGE(I114:I125)</f>
        <v>0</v>
      </c>
      <c r="J126" s="30">
        <f>AVERAGE(J114:J125)</f>
        <v>0.12702500000000003</v>
      </c>
      <c r="K126" s="30">
        <f>AVERAGE(K114:K125)</f>
        <v>0</v>
      </c>
      <c r="L126" s="30">
        <f>AVERAGE(L114:L125)</f>
        <v>0.28024166666666667</v>
      </c>
      <c r="M126" s="30">
        <f>AVERAGE(M114:M125)</f>
        <v>8.5775000000000004E-2</v>
      </c>
      <c r="N126" s="30">
        <f>AVERAGE(N114:N125)</f>
        <v>0.61271666666666669</v>
      </c>
      <c r="O126" s="30">
        <f>AVERAGE(O114:O125)</f>
        <v>0.32309166666666667</v>
      </c>
      <c r="P126" s="30">
        <f>AVERAGE(P114:P125)</f>
        <v>0.84800833333333336</v>
      </c>
      <c r="Q126" s="30">
        <f>AVERAGE(Q114:Q125)</f>
        <v>0.72097500000000003</v>
      </c>
    </row>
    <row r="127" spans="6:17" ht="18" x14ac:dyDescent="0.2">
      <c r="F127" s="25" t="s">
        <v>50</v>
      </c>
      <c r="H127" s="17">
        <f>_xlfn.STDEV.P(H114:H125)</f>
        <v>8.706254895507913E-2</v>
      </c>
      <c r="I127" s="17">
        <f>_xlfn.STDEV.P(I114:I125)</f>
        <v>0</v>
      </c>
      <c r="J127" s="17">
        <f>_xlfn.STDEV.P(J114:J125)</f>
        <v>5.077107321103224E-2</v>
      </c>
      <c r="K127" s="17">
        <f>_xlfn.STDEV.P(K114:K125)</f>
        <v>0</v>
      </c>
      <c r="L127" s="17">
        <f>_xlfn.STDEV.P(L114:L125)</f>
        <v>0.12726401991092731</v>
      </c>
      <c r="M127" s="17">
        <f>_xlfn.STDEV.P(M114:M125)</f>
        <v>7.2555692689593054E-2</v>
      </c>
      <c r="N127" s="17">
        <f>_xlfn.STDEV.P(N114:N125)</f>
        <v>7.4812096095633634E-2</v>
      </c>
      <c r="O127" s="17">
        <f>_xlfn.STDEV.P(O114:O125)</f>
        <v>0.13338788337234961</v>
      </c>
      <c r="P127" s="17">
        <f>_xlfn.STDEV.P(P114:P125)</f>
        <v>5.1617494746344382E-2</v>
      </c>
      <c r="Q127" s="17">
        <f>_xlfn.STDEV.P(Q114:Q125)</f>
        <v>9.6565583284108206E-2</v>
      </c>
    </row>
    <row r="131" spans="6:17" x14ac:dyDescent="0.2">
      <c r="F131" s="17" t="s">
        <v>54</v>
      </c>
    </row>
    <row r="133" spans="6:17" ht="18" x14ac:dyDescent="0.2">
      <c r="F133" s="21" t="s">
        <v>38</v>
      </c>
      <c r="G133" s="21"/>
      <c r="H133" s="21" t="s">
        <v>39</v>
      </c>
      <c r="I133" s="21"/>
      <c r="J133" s="21"/>
      <c r="K133" s="21"/>
      <c r="L133" s="21" t="s">
        <v>40</v>
      </c>
      <c r="M133" s="21"/>
      <c r="N133" s="21"/>
      <c r="O133" s="21"/>
      <c r="P133" s="21" t="s">
        <v>41</v>
      </c>
      <c r="Q133" s="21"/>
    </row>
    <row r="134" spans="6:17" ht="18" x14ac:dyDescent="0.2">
      <c r="F134" s="22"/>
      <c r="G134" s="22"/>
      <c r="H134" s="22" t="s">
        <v>42</v>
      </c>
      <c r="I134" s="22"/>
      <c r="J134" s="22" t="s">
        <v>43</v>
      </c>
      <c r="K134" s="22"/>
      <c r="L134" s="22" t="s">
        <v>44</v>
      </c>
      <c r="M134" s="22"/>
      <c r="N134" s="22" t="s">
        <v>45</v>
      </c>
      <c r="O134" s="22"/>
      <c r="P134" s="22"/>
      <c r="Q134" s="22"/>
    </row>
    <row r="135" spans="6:17" ht="18" x14ac:dyDescent="0.2">
      <c r="F135" s="23" t="s">
        <v>46</v>
      </c>
      <c r="G135" s="23" t="s">
        <v>47</v>
      </c>
      <c r="H135" s="24" t="s">
        <v>48</v>
      </c>
      <c r="I135" s="24" t="s">
        <v>49</v>
      </c>
      <c r="J135" s="24" t="s">
        <v>48</v>
      </c>
      <c r="K135" s="24" t="s">
        <v>49</v>
      </c>
      <c r="L135" s="24" t="s">
        <v>48</v>
      </c>
      <c r="M135" s="24" t="s">
        <v>49</v>
      </c>
      <c r="N135" s="24" t="s">
        <v>48</v>
      </c>
      <c r="O135" s="24" t="s">
        <v>49</v>
      </c>
      <c r="P135" s="24" t="s">
        <v>48</v>
      </c>
      <c r="Q135" s="24" t="s">
        <v>49</v>
      </c>
    </row>
    <row r="136" spans="6:17" ht="18" x14ac:dyDescent="0.25">
      <c r="F136" s="25" t="s">
        <v>4</v>
      </c>
      <c r="G136" s="32">
        <v>247</v>
      </c>
      <c r="H136" s="31">
        <v>0.42630000000000001</v>
      </c>
      <c r="I136" s="31">
        <v>0.42509999999999998</v>
      </c>
      <c r="J136" s="31">
        <v>0.3654</v>
      </c>
      <c r="K136" s="31">
        <v>0.36030000000000001</v>
      </c>
      <c r="L136" s="31">
        <v>0.62290000000000001</v>
      </c>
      <c r="M136" s="31">
        <v>0.61939999999999995</v>
      </c>
      <c r="N136" s="31">
        <v>0.63029999999999997</v>
      </c>
      <c r="O136" s="31">
        <v>0.62749999999999995</v>
      </c>
      <c r="P136" s="31">
        <v>0.92710000000000004</v>
      </c>
      <c r="Q136" s="31">
        <v>0.91900000000000004</v>
      </c>
    </row>
    <row r="137" spans="6:17" ht="18" x14ac:dyDescent="0.25">
      <c r="F137" s="25" t="s">
        <v>9</v>
      </c>
      <c r="G137" s="32">
        <v>114</v>
      </c>
      <c r="H137" s="31">
        <v>0.53510000000000002</v>
      </c>
      <c r="I137" s="31">
        <v>0.53510000000000002</v>
      </c>
      <c r="J137" s="31">
        <v>0.20930000000000001</v>
      </c>
      <c r="K137" s="31">
        <v>0.20180000000000001</v>
      </c>
      <c r="L137" s="31">
        <v>0.3947</v>
      </c>
      <c r="M137" s="31">
        <v>0.3947</v>
      </c>
      <c r="N137" s="31">
        <v>0.70879999999999999</v>
      </c>
      <c r="O137" s="31">
        <v>0.70179999999999998</v>
      </c>
      <c r="P137" s="31">
        <v>0.95609999999999995</v>
      </c>
      <c r="Q137" s="31">
        <v>0.95609999999999995</v>
      </c>
    </row>
    <row r="138" spans="6:17" ht="18" x14ac:dyDescent="0.25">
      <c r="F138" s="25" t="s">
        <v>3</v>
      </c>
      <c r="G138" s="32">
        <v>498</v>
      </c>
      <c r="H138" s="31">
        <v>0.22090000000000001</v>
      </c>
      <c r="I138" s="31">
        <v>0.22090000000000001</v>
      </c>
      <c r="J138" s="31">
        <v>0.26129999999999998</v>
      </c>
      <c r="K138" s="31">
        <v>0.245</v>
      </c>
      <c r="L138" s="31">
        <v>0.30230000000000001</v>
      </c>
      <c r="M138" s="31">
        <v>0.29720000000000002</v>
      </c>
      <c r="N138" s="31">
        <v>0.58950000000000002</v>
      </c>
      <c r="O138" s="31">
        <v>0.58230000000000004</v>
      </c>
      <c r="P138" s="31">
        <v>0.86619999999999997</v>
      </c>
      <c r="Q138" s="31">
        <v>0.85540000000000005</v>
      </c>
    </row>
    <row r="139" spans="6:17" ht="18" x14ac:dyDescent="0.25">
      <c r="F139" s="25" t="s">
        <v>8</v>
      </c>
      <c r="G139" s="32">
        <v>23</v>
      </c>
      <c r="H139" s="31">
        <v>0.69569999999999999</v>
      </c>
      <c r="I139" s="31">
        <v>0.69569999999999999</v>
      </c>
      <c r="J139" s="31">
        <v>0.1522</v>
      </c>
      <c r="K139" s="31">
        <v>0.13039999999999999</v>
      </c>
      <c r="L139" s="31">
        <v>0.93479999999999996</v>
      </c>
      <c r="M139" s="31">
        <v>0.91300000000000003</v>
      </c>
      <c r="N139" s="31">
        <v>0.63039999999999996</v>
      </c>
      <c r="O139" s="31">
        <v>0.60870000000000002</v>
      </c>
      <c r="P139" s="31">
        <v>0.91300000000000003</v>
      </c>
      <c r="Q139" s="31">
        <v>0.91300000000000003</v>
      </c>
    </row>
    <row r="140" spans="6:17" ht="18" x14ac:dyDescent="0.25">
      <c r="F140" s="25" t="s">
        <v>13</v>
      </c>
      <c r="G140" s="32">
        <v>250</v>
      </c>
      <c r="H140" s="31">
        <v>0.52749999999999997</v>
      </c>
      <c r="I140" s="31">
        <v>0.52400000000000002</v>
      </c>
      <c r="J140" s="31">
        <v>0.13550000000000001</v>
      </c>
      <c r="K140" s="31">
        <v>0.124</v>
      </c>
      <c r="L140" s="31">
        <v>0.49559999999999998</v>
      </c>
      <c r="M140" s="31">
        <v>0.49199999999999999</v>
      </c>
      <c r="N140" s="31">
        <v>0.70079999999999998</v>
      </c>
      <c r="O140" s="31">
        <v>0.69199999999999995</v>
      </c>
      <c r="P140" s="31">
        <v>0.88119999999999998</v>
      </c>
      <c r="Q140" s="31">
        <v>0.84399999999999997</v>
      </c>
    </row>
    <row r="141" spans="6:17" ht="18" x14ac:dyDescent="0.25">
      <c r="F141" s="25" t="s">
        <v>7</v>
      </c>
      <c r="G141" s="32">
        <v>366</v>
      </c>
      <c r="H141" s="31">
        <v>0.50839999999999996</v>
      </c>
      <c r="I141" s="31">
        <v>0.50549999999999995</v>
      </c>
      <c r="J141" s="31">
        <v>0.26219999999999999</v>
      </c>
      <c r="K141" s="31">
        <v>0.2596</v>
      </c>
      <c r="L141" s="31">
        <v>0.50929999999999997</v>
      </c>
      <c r="M141" s="31">
        <v>0.50549999999999995</v>
      </c>
      <c r="N141" s="31">
        <v>0.73699999999999999</v>
      </c>
      <c r="O141" s="31">
        <v>0.72950000000000004</v>
      </c>
      <c r="P141" s="31">
        <v>0.92559999999999998</v>
      </c>
      <c r="Q141" s="31">
        <v>0.91259999999999997</v>
      </c>
    </row>
    <row r="142" spans="6:17" ht="18" x14ac:dyDescent="0.25">
      <c r="F142" s="25" t="s">
        <v>5</v>
      </c>
      <c r="G142" s="32">
        <v>219</v>
      </c>
      <c r="H142" s="31">
        <v>0.12790000000000001</v>
      </c>
      <c r="I142" s="31">
        <v>0.12790000000000001</v>
      </c>
      <c r="J142" s="31">
        <v>0.28539999999999999</v>
      </c>
      <c r="K142" s="31">
        <v>0.26479999999999998</v>
      </c>
      <c r="L142" s="31">
        <v>0.24840000000000001</v>
      </c>
      <c r="M142" s="31">
        <v>0.24199999999999999</v>
      </c>
      <c r="N142" s="31">
        <v>0.61450000000000005</v>
      </c>
      <c r="O142" s="31">
        <v>0.60270000000000001</v>
      </c>
      <c r="P142" s="31">
        <v>0.89300000000000002</v>
      </c>
      <c r="Q142" s="31">
        <v>0.88580000000000003</v>
      </c>
    </row>
    <row r="143" spans="6:17" ht="18" x14ac:dyDescent="0.25">
      <c r="F143" s="25" t="s">
        <v>10</v>
      </c>
      <c r="G143" s="32">
        <v>142</v>
      </c>
      <c r="H143" s="31">
        <v>0.36620000000000003</v>
      </c>
      <c r="I143" s="31">
        <v>0.36620000000000003</v>
      </c>
      <c r="J143" s="31">
        <v>0.42330000000000001</v>
      </c>
      <c r="K143" s="31">
        <v>0.42249999999999999</v>
      </c>
      <c r="L143" s="31">
        <v>0.3453</v>
      </c>
      <c r="M143" s="31">
        <v>0.34510000000000002</v>
      </c>
      <c r="N143" s="31">
        <v>0.5141</v>
      </c>
      <c r="O143" s="31">
        <v>0.5141</v>
      </c>
      <c r="P143" s="31">
        <v>0.83799999999999997</v>
      </c>
      <c r="Q143" s="31">
        <v>0.83799999999999997</v>
      </c>
    </row>
    <row r="144" spans="6:17" ht="18" x14ac:dyDescent="0.25">
      <c r="F144" s="25" t="s">
        <v>2</v>
      </c>
      <c r="G144" s="32">
        <v>175</v>
      </c>
      <c r="H144" s="31">
        <v>0.33710000000000001</v>
      </c>
      <c r="I144" s="31">
        <v>0.33710000000000001</v>
      </c>
      <c r="J144" s="31">
        <v>0.22819999999999999</v>
      </c>
      <c r="K144" s="31">
        <v>0.22289999999999999</v>
      </c>
      <c r="L144" s="31">
        <v>0.4178</v>
      </c>
      <c r="M144" s="31">
        <v>0.41710000000000003</v>
      </c>
      <c r="N144" s="31">
        <v>0.66420000000000001</v>
      </c>
      <c r="O144" s="31">
        <v>0.66290000000000004</v>
      </c>
      <c r="P144" s="31">
        <v>0.94140000000000001</v>
      </c>
      <c r="Q144" s="31">
        <v>0.93710000000000004</v>
      </c>
    </row>
    <row r="145" spans="6:17" ht="18" x14ac:dyDescent="0.25">
      <c r="F145" s="25" t="s">
        <v>6</v>
      </c>
      <c r="G145" s="32">
        <v>126</v>
      </c>
      <c r="H145" s="31">
        <v>0.65869999999999995</v>
      </c>
      <c r="I145" s="31">
        <v>0.65869999999999995</v>
      </c>
      <c r="J145" s="31">
        <v>0.13569999999999999</v>
      </c>
      <c r="K145" s="31">
        <v>0.13489999999999999</v>
      </c>
      <c r="L145" s="31">
        <v>0.49209999999999998</v>
      </c>
      <c r="M145" s="31">
        <v>0.48409999999999997</v>
      </c>
      <c r="N145" s="31">
        <v>0.80979999999999996</v>
      </c>
      <c r="O145" s="31">
        <v>0.79369999999999996</v>
      </c>
      <c r="P145" s="31">
        <v>0.96830000000000005</v>
      </c>
      <c r="Q145" s="31">
        <v>0.96830000000000005</v>
      </c>
    </row>
    <row r="146" spans="6:17" ht="18" x14ac:dyDescent="0.25">
      <c r="F146" s="25" t="s">
        <v>11</v>
      </c>
      <c r="G146" s="32">
        <v>626</v>
      </c>
      <c r="H146" s="31">
        <v>0.3916</v>
      </c>
      <c r="I146" s="31">
        <v>0.39140000000000003</v>
      </c>
      <c r="J146" s="31">
        <v>0.31730000000000003</v>
      </c>
      <c r="K146" s="31">
        <v>0.3115</v>
      </c>
      <c r="L146" s="31">
        <v>0.40029999999999999</v>
      </c>
      <c r="M146" s="31">
        <v>0.39939999999999998</v>
      </c>
      <c r="N146" s="31">
        <v>0.69369999999999998</v>
      </c>
      <c r="O146" s="31">
        <v>0.69169999999999998</v>
      </c>
      <c r="P146" s="31">
        <v>0.93520000000000003</v>
      </c>
      <c r="Q146" s="31">
        <v>0.93130000000000002</v>
      </c>
    </row>
    <row r="147" spans="6:17" ht="18" x14ac:dyDescent="0.25">
      <c r="F147" s="27" t="s">
        <v>12</v>
      </c>
      <c r="G147" s="32">
        <v>115</v>
      </c>
      <c r="H147" s="30">
        <v>0.1051</v>
      </c>
      <c r="I147" s="30">
        <v>0.1043</v>
      </c>
      <c r="J147" s="30">
        <v>0.41980000000000001</v>
      </c>
      <c r="K147" s="30">
        <v>0.40870000000000001</v>
      </c>
      <c r="L147" s="30">
        <v>0.25280000000000002</v>
      </c>
      <c r="M147" s="30">
        <v>0.25219999999999998</v>
      </c>
      <c r="N147" s="30">
        <v>0.49659999999999999</v>
      </c>
      <c r="O147" s="30">
        <v>0.49569999999999997</v>
      </c>
      <c r="P147" s="30">
        <v>0.84930000000000005</v>
      </c>
      <c r="Q147" s="30">
        <v>0.84350000000000003</v>
      </c>
    </row>
    <row r="148" spans="6:17" ht="18" x14ac:dyDescent="0.2">
      <c r="F148" s="23" t="s">
        <v>23</v>
      </c>
      <c r="G148" s="33">
        <f>AVERAGE(G136:G147)</f>
        <v>241.75</v>
      </c>
      <c r="H148" s="30">
        <f>AVERAGE(H136:H147)</f>
        <v>0.40837499999999999</v>
      </c>
      <c r="I148" s="30">
        <f>AVERAGE(I136:I147)</f>
        <v>0.4076583333333334</v>
      </c>
      <c r="J148" s="30">
        <f>AVERAGE(J136:J147)</f>
        <v>0.26629999999999998</v>
      </c>
      <c r="K148" s="30">
        <f>AVERAGE(K136:K147)</f>
        <v>0.25720000000000004</v>
      </c>
      <c r="L148" s="30">
        <f>AVERAGE(L136:L147)</f>
        <v>0.45135833333333331</v>
      </c>
      <c r="M148" s="30">
        <f>AVERAGE(M136:M147)</f>
        <v>0.44680833333333342</v>
      </c>
      <c r="N148" s="30">
        <f>AVERAGE(N136:N147)</f>
        <v>0.64914166666666662</v>
      </c>
      <c r="O148" s="30">
        <f>AVERAGE(O136:O147)</f>
        <v>0.64188333333333325</v>
      </c>
      <c r="P148" s="30">
        <f>AVERAGE(P136:P147)</f>
        <v>0.9078666666666666</v>
      </c>
      <c r="Q148" s="30">
        <f>AVERAGE(Q136:Q147)</f>
        <v>0.90034166666666671</v>
      </c>
    </row>
    <row r="149" spans="6:17" ht="18" x14ac:dyDescent="0.2">
      <c r="F149" s="25" t="s">
        <v>50</v>
      </c>
      <c r="H149" s="17">
        <f>_xlfn.STDEV.P(H136:H147)</f>
        <v>0.18228266568254176</v>
      </c>
      <c r="I149" s="17">
        <f>_xlfn.STDEV.P(I136:I147)</f>
        <v>0.18206573198679882</v>
      </c>
      <c r="J149" s="17">
        <f>_xlfn.STDEV.P(J136:J147)</f>
        <v>9.7006915561039603E-2</v>
      </c>
      <c r="K149" s="17">
        <f>_xlfn.STDEV.P(K136:K147)</f>
        <v>9.8780151515035247E-2</v>
      </c>
      <c r="L149" s="17">
        <f>_xlfn.STDEV.P(L136:L147)</f>
        <v>0.18054186245085183</v>
      </c>
      <c r="M149" s="17">
        <f>_xlfn.STDEV.P(M136:M147)</f>
        <v>0.17616084723122266</v>
      </c>
      <c r="N149" s="17">
        <f>_xlfn.STDEV.P(N136:N147)</f>
        <v>8.6090422021784088E-2</v>
      </c>
      <c r="O149" s="17">
        <f>_xlfn.STDEV.P(O136:O147)</f>
        <v>8.3587148467266503E-2</v>
      </c>
      <c r="P149" s="17">
        <f>_xlfn.STDEV.P(P136:P147)</f>
        <v>4.035325954065614E-2</v>
      </c>
      <c r="Q149" s="17">
        <f>_xlfn.STDEV.P(Q136:Q147)</f>
        <v>4.3987317458811043E-2</v>
      </c>
    </row>
    <row r="152" spans="6:17" x14ac:dyDescent="0.2">
      <c r="F152" s="17" t="s">
        <v>55</v>
      </c>
    </row>
    <row r="154" spans="6:17" ht="18" x14ac:dyDescent="0.2">
      <c r="F154" s="21" t="s">
        <v>38</v>
      </c>
      <c r="G154" s="21"/>
      <c r="H154" s="21" t="s">
        <v>39</v>
      </c>
      <c r="I154" s="21"/>
      <c r="J154" s="21"/>
      <c r="K154" s="21"/>
      <c r="L154" s="21" t="s">
        <v>40</v>
      </c>
      <c r="M154" s="21"/>
      <c r="N154" s="21"/>
      <c r="O154" s="21"/>
      <c r="P154" s="21" t="s">
        <v>41</v>
      </c>
      <c r="Q154" s="21"/>
    </row>
    <row r="155" spans="6:17" ht="18" x14ac:dyDescent="0.2">
      <c r="F155" s="22"/>
      <c r="G155" s="22"/>
      <c r="H155" s="22" t="s">
        <v>42</v>
      </c>
      <c r="I155" s="22"/>
      <c r="J155" s="22" t="s">
        <v>43</v>
      </c>
      <c r="K155" s="22"/>
      <c r="L155" s="22" t="s">
        <v>44</v>
      </c>
      <c r="M155" s="22"/>
      <c r="N155" s="22" t="s">
        <v>45</v>
      </c>
      <c r="O155" s="22"/>
      <c r="P155" s="22"/>
      <c r="Q155" s="22"/>
    </row>
    <row r="156" spans="6:17" ht="18" x14ac:dyDescent="0.2">
      <c r="F156" s="23" t="s">
        <v>46</v>
      </c>
      <c r="G156" s="23" t="s">
        <v>47</v>
      </c>
      <c r="H156" s="24" t="s">
        <v>48</v>
      </c>
      <c r="I156" s="24" t="s">
        <v>49</v>
      </c>
      <c r="J156" s="24" t="s">
        <v>48</v>
      </c>
      <c r="K156" s="24" t="s">
        <v>49</v>
      </c>
      <c r="L156" s="24" t="s">
        <v>48</v>
      </c>
      <c r="M156" s="24" t="s">
        <v>49</v>
      </c>
      <c r="N156" s="24" t="s">
        <v>48</v>
      </c>
      <c r="O156" s="24" t="s">
        <v>49</v>
      </c>
      <c r="P156" s="24" t="s">
        <v>48</v>
      </c>
      <c r="Q156" s="24" t="s">
        <v>49</v>
      </c>
    </row>
    <row r="157" spans="6:17" ht="18" x14ac:dyDescent="0.25">
      <c r="F157" s="25" t="s">
        <v>4</v>
      </c>
      <c r="G157" s="32">
        <v>60</v>
      </c>
      <c r="H157" s="31">
        <v>2.3800000000000002E-2</v>
      </c>
      <c r="I157" s="31">
        <v>1.67E-2</v>
      </c>
      <c r="J157" s="31">
        <v>0.12659999999999999</v>
      </c>
      <c r="K157" s="31">
        <v>0.05</v>
      </c>
      <c r="L157" s="31">
        <v>2.0999999999999999E-3</v>
      </c>
      <c r="M157" s="31">
        <v>0</v>
      </c>
      <c r="N157" s="31">
        <v>0.25359999999999999</v>
      </c>
      <c r="O157" s="31">
        <v>0.2</v>
      </c>
      <c r="P157" s="31">
        <v>0.61480000000000001</v>
      </c>
      <c r="Q157" s="31">
        <v>0.6</v>
      </c>
    </row>
    <row r="158" spans="6:17" ht="18" x14ac:dyDescent="0.25">
      <c r="F158" s="25" t="s">
        <v>9</v>
      </c>
      <c r="G158" s="32">
        <v>7</v>
      </c>
      <c r="H158" s="31">
        <v>0.71430000000000005</v>
      </c>
      <c r="I158" s="31">
        <v>0</v>
      </c>
      <c r="J158" s="31">
        <v>0.52380000000000004</v>
      </c>
      <c r="K158" s="31">
        <v>0</v>
      </c>
      <c r="L158" s="31">
        <v>0.1429</v>
      </c>
      <c r="M158" s="31">
        <v>0.1429</v>
      </c>
      <c r="N158" s="31">
        <v>0.219</v>
      </c>
      <c r="O158" s="31">
        <v>0</v>
      </c>
      <c r="P158" s="31">
        <v>0.95240000000000002</v>
      </c>
      <c r="Q158" s="31">
        <v>0.71430000000000005</v>
      </c>
    </row>
    <row r="159" spans="6:17" ht="18" x14ac:dyDescent="0.25">
      <c r="F159" s="25" t="s">
        <v>3</v>
      </c>
      <c r="G159" s="32">
        <v>32</v>
      </c>
      <c r="H159" s="31">
        <v>0.1273</v>
      </c>
      <c r="I159" s="31">
        <v>3.1199999999999999E-2</v>
      </c>
      <c r="J159" s="31">
        <v>0.39800000000000002</v>
      </c>
      <c r="K159" s="31">
        <v>3.1199999999999999E-2</v>
      </c>
      <c r="L159" s="31">
        <v>0.3523</v>
      </c>
      <c r="M159" s="31">
        <v>0.1875</v>
      </c>
      <c r="N159" s="31">
        <v>0.49159999999999998</v>
      </c>
      <c r="O159" s="31">
        <v>0.1875</v>
      </c>
      <c r="P159" s="31">
        <v>0.75509999999999999</v>
      </c>
      <c r="Q159" s="31">
        <v>0.5</v>
      </c>
    </row>
    <row r="160" spans="6:17" ht="18" x14ac:dyDescent="0.25">
      <c r="F160" s="25" t="s">
        <v>8</v>
      </c>
      <c r="G160" s="32">
        <v>8</v>
      </c>
      <c r="H160" s="31">
        <v>6.3200000000000006E-2</v>
      </c>
      <c r="I160" s="31">
        <v>0</v>
      </c>
      <c r="J160" s="31">
        <v>0.38819999999999999</v>
      </c>
      <c r="K160" s="31">
        <v>0</v>
      </c>
      <c r="L160" s="31">
        <v>0.1905</v>
      </c>
      <c r="M160" s="31">
        <v>0</v>
      </c>
      <c r="N160" s="31">
        <v>0.4733</v>
      </c>
      <c r="O160" s="31">
        <v>0</v>
      </c>
      <c r="P160" s="31">
        <v>0.97919999999999996</v>
      </c>
      <c r="Q160" s="31">
        <v>0.875</v>
      </c>
    </row>
    <row r="161" spans="6:17" ht="18" x14ac:dyDescent="0.25">
      <c r="F161" s="25" t="s">
        <v>13</v>
      </c>
      <c r="G161" s="32">
        <v>16</v>
      </c>
      <c r="H161" s="31">
        <v>0.2263</v>
      </c>
      <c r="I161" s="31">
        <v>6.25E-2</v>
      </c>
      <c r="J161" s="31">
        <v>0.18729999999999999</v>
      </c>
      <c r="K161" s="31">
        <v>0</v>
      </c>
      <c r="L161" s="31">
        <v>0.24990000000000001</v>
      </c>
      <c r="M161" s="31">
        <v>6.25E-2</v>
      </c>
      <c r="N161" s="31">
        <v>0.36559999999999998</v>
      </c>
      <c r="O161" s="31">
        <v>6.25E-2</v>
      </c>
      <c r="P161" s="31">
        <v>0.59299999999999997</v>
      </c>
      <c r="Q161" s="31">
        <v>0.4375</v>
      </c>
    </row>
    <row r="162" spans="6:17" ht="18" x14ac:dyDescent="0.25">
      <c r="F162" s="25" t="s">
        <v>7</v>
      </c>
      <c r="G162" s="32">
        <v>48</v>
      </c>
      <c r="H162" s="31">
        <v>5.21E-2</v>
      </c>
      <c r="I162" s="31">
        <v>0</v>
      </c>
      <c r="J162" s="31">
        <v>0.1719</v>
      </c>
      <c r="K162" s="31">
        <v>0</v>
      </c>
      <c r="L162" s="31">
        <v>0.14599999999999999</v>
      </c>
      <c r="M162" s="31">
        <v>4.1700000000000001E-2</v>
      </c>
      <c r="N162" s="31">
        <v>0.37330000000000002</v>
      </c>
      <c r="O162" s="31">
        <v>0</v>
      </c>
      <c r="P162" s="31">
        <v>0.79610000000000003</v>
      </c>
      <c r="Q162" s="31">
        <v>0.70830000000000004</v>
      </c>
    </row>
    <row r="163" spans="6:17" ht="18" x14ac:dyDescent="0.25">
      <c r="F163" s="25" t="s">
        <v>5</v>
      </c>
      <c r="G163" s="32">
        <v>77</v>
      </c>
      <c r="H163" s="31">
        <v>1.5800000000000002E-2</v>
      </c>
      <c r="I163" s="31">
        <v>0</v>
      </c>
      <c r="J163" s="31">
        <v>0.2</v>
      </c>
      <c r="K163" s="31">
        <v>2.5999999999999999E-2</v>
      </c>
      <c r="L163" s="31">
        <v>0.1031</v>
      </c>
      <c r="M163" s="31">
        <v>0</v>
      </c>
      <c r="N163" s="31">
        <v>0.29380000000000001</v>
      </c>
      <c r="O163" s="31">
        <v>2.5999999999999999E-2</v>
      </c>
      <c r="P163" s="31">
        <v>0.78669999999999995</v>
      </c>
      <c r="Q163" s="31">
        <v>0.72729999999999995</v>
      </c>
    </row>
    <row r="164" spans="6:17" ht="18" x14ac:dyDescent="0.25">
      <c r="F164" s="25" t="s">
        <v>10</v>
      </c>
      <c r="G164" s="32">
        <v>25</v>
      </c>
      <c r="H164" s="31">
        <v>0.63619999999999999</v>
      </c>
      <c r="I164" s="31">
        <v>0.2</v>
      </c>
      <c r="J164" s="31">
        <v>0.83440000000000003</v>
      </c>
      <c r="K164" s="31">
        <v>0</v>
      </c>
      <c r="L164" s="31">
        <v>0.83340000000000003</v>
      </c>
      <c r="M164" s="31">
        <v>0.32</v>
      </c>
      <c r="N164" s="31">
        <v>0.95250000000000001</v>
      </c>
      <c r="O164" s="31">
        <v>0.64</v>
      </c>
      <c r="P164" s="31">
        <v>0.59330000000000005</v>
      </c>
      <c r="Q164" s="31">
        <v>0.52</v>
      </c>
    </row>
    <row r="165" spans="6:17" ht="18" x14ac:dyDescent="0.25">
      <c r="F165" s="25" t="s">
        <v>2</v>
      </c>
      <c r="G165" s="32">
        <v>9</v>
      </c>
      <c r="H165" s="31">
        <v>6.6199999999999995E-2</v>
      </c>
      <c r="I165" s="31">
        <v>0</v>
      </c>
      <c r="J165" s="31">
        <v>0.2041</v>
      </c>
      <c r="K165" s="31">
        <v>0</v>
      </c>
      <c r="L165" s="31">
        <v>0</v>
      </c>
      <c r="M165" s="31">
        <v>0</v>
      </c>
      <c r="N165" s="31">
        <v>0.3851</v>
      </c>
      <c r="O165" s="31">
        <v>0</v>
      </c>
      <c r="P165" s="31">
        <v>0.75780000000000003</v>
      </c>
      <c r="Q165" s="31">
        <v>0.66669999999999996</v>
      </c>
    </row>
    <row r="166" spans="6:17" ht="18" x14ac:dyDescent="0.25">
      <c r="F166" s="25" t="s">
        <v>6</v>
      </c>
      <c r="G166" s="32">
        <v>17</v>
      </c>
      <c r="H166" s="31">
        <v>0.2843</v>
      </c>
      <c r="I166" s="31">
        <v>0.23530000000000001</v>
      </c>
      <c r="J166" s="31">
        <v>0.2399</v>
      </c>
      <c r="K166" s="31">
        <v>0</v>
      </c>
      <c r="L166" s="31">
        <v>0.1164</v>
      </c>
      <c r="M166" s="31">
        <v>5.8799999999999998E-2</v>
      </c>
      <c r="N166" s="31">
        <v>0.2316</v>
      </c>
      <c r="O166" s="31">
        <v>0</v>
      </c>
      <c r="P166" s="31">
        <v>0.81369999999999998</v>
      </c>
      <c r="Q166" s="31">
        <v>0.70589999999999997</v>
      </c>
    </row>
    <row r="167" spans="6:17" ht="18" x14ac:dyDescent="0.25">
      <c r="F167" s="25" t="s">
        <v>11</v>
      </c>
      <c r="G167" s="32">
        <v>14</v>
      </c>
      <c r="H167" s="31">
        <v>7.3099999999999998E-2</v>
      </c>
      <c r="I167" s="31">
        <v>0</v>
      </c>
      <c r="J167" s="31">
        <v>0.151</v>
      </c>
      <c r="K167" s="31">
        <v>0</v>
      </c>
      <c r="L167" s="31">
        <v>0.18090000000000001</v>
      </c>
      <c r="M167" s="31">
        <v>7.1400000000000005E-2</v>
      </c>
      <c r="N167" s="31">
        <v>0.25669999999999998</v>
      </c>
      <c r="O167" s="31">
        <v>0</v>
      </c>
      <c r="P167" s="31">
        <v>0.62729999999999997</v>
      </c>
      <c r="Q167" s="31">
        <v>0.42859999999999998</v>
      </c>
    </row>
    <row r="168" spans="6:17" ht="18" x14ac:dyDescent="0.25">
      <c r="F168" s="27" t="s">
        <v>12</v>
      </c>
      <c r="G168" s="32">
        <v>4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0.29909999999999998</v>
      </c>
      <c r="O168" s="30">
        <v>0</v>
      </c>
      <c r="P168" s="30">
        <v>1</v>
      </c>
      <c r="Q168" s="30">
        <v>1</v>
      </c>
    </row>
    <row r="169" spans="6:17" ht="18" x14ac:dyDescent="0.2">
      <c r="F169" s="23" t="s">
        <v>23</v>
      </c>
      <c r="G169" s="33">
        <f>AVERAGE(G157:G168)</f>
        <v>26.416666666666668</v>
      </c>
      <c r="H169" s="30">
        <f>AVERAGE(H157:H168)</f>
        <v>0.1902166666666667</v>
      </c>
      <c r="I169" s="30">
        <f>AVERAGE(I157:I168)</f>
        <v>4.5475000000000008E-2</v>
      </c>
      <c r="J169" s="30">
        <f>AVERAGE(J157:J168)</f>
        <v>0.28543333333333326</v>
      </c>
      <c r="K169" s="30">
        <f>AVERAGE(K157:K168)</f>
        <v>8.9333333333333331E-3</v>
      </c>
      <c r="L169" s="30">
        <f>AVERAGE(L157:L168)</f>
        <v>0.19312499999999999</v>
      </c>
      <c r="M169" s="30">
        <f>AVERAGE(M157:M168)</f>
        <v>7.3733333333333331E-2</v>
      </c>
      <c r="N169" s="30">
        <f>AVERAGE(N157:N168)</f>
        <v>0.3829333333333334</v>
      </c>
      <c r="O169" s="30">
        <f>AVERAGE(O157:O168)</f>
        <v>9.3000000000000013E-2</v>
      </c>
      <c r="P169" s="30">
        <f>AVERAGE(P157:P168)</f>
        <v>0.77245000000000008</v>
      </c>
      <c r="Q169" s="30">
        <f>AVERAGE(Q157:Q168)</f>
        <v>0.65696666666666659</v>
      </c>
    </row>
    <row r="170" spans="6:17" ht="18" x14ac:dyDescent="0.2">
      <c r="F170" s="25" t="s">
        <v>50</v>
      </c>
      <c r="H170" s="17">
        <f>_xlfn.STDEV.P(H157:H168)</f>
        <v>0.23207050233831003</v>
      </c>
      <c r="I170" s="17">
        <f>_xlfn.STDEV.P(I157:I168)</f>
        <v>7.94297186721276E-2</v>
      </c>
      <c r="J170" s="17">
        <f>_xlfn.STDEV.P(J157:J168)</f>
        <v>0.21305223668282769</v>
      </c>
      <c r="K170" s="17">
        <f>_xlfn.STDEV.P(K157:K168)</f>
        <v>1.6308961408447269E-2</v>
      </c>
      <c r="L170" s="17">
        <f>_xlfn.STDEV.P(L157:L168)</f>
        <v>0.2176557148533742</v>
      </c>
      <c r="M170" s="17">
        <f>_xlfn.STDEV.P(M157:M168)</f>
        <v>9.4400717982203702E-2</v>
      </c>
      <c r="N170" s="17">
        <f>_xlfn.STDEV.P(N157:N168)</f>
        <v>0.19196123017132599</v>
      </c>
      <c r="O170" s="17">
        <f>_xlfn.STDEV.P(O157:O168)</f>
        <v>0.17924622264732198</v>
      </c>
      <c r="P170" s="17">
        <f>_xlfn.STDEV.P(P157:P168)</f>
        <v>0.14145235652567459</v>
      </c>
      <c r="Q170" s="17">
        <f>_xlfn.STDEV.P(Q157:Q168)</f>
        <v>0.16470406963871786</v>
      </c>
    </row>
  </sheetData>
  <mergeCells count="56">
    <mergeCell ref="F154:G155"/>
    <mergeCell ref="H154:K154"/>
    <mergeCell ref="L154:O154"/>
    <mergeCell ref="P154:Q155"/>
    <mergeCell ref="H155:I155"/>
    <mergeCell ref="J155:K155"/>
    <mergeCell ref="L155:M155"/>
    <mergeCell ref="N155:O155"/>
    <mergeCell ref="F133:G134"/>
    <mergeCell ref="H133:K133"/>
    <mergeCell ref="L133:O133"/>
    <mergeCell ref="P133:Q134"/>
    <mergeCell ref="H134:I134"/>
    <mergeCell ref="J134:K134"/>
    <mergeCell ref="L134:M134"/>
    <mergeCell ref="N134:O134"/>
    <mergeCell ref="F111:G112"/>
    <mergeCell ref="H111:K111"/>
    <mergeCell ref="L111:O111"/>
    <mergeCell ref="P111:Q112"/>
    <mergeCell ref="H112:I112"/>
    <mergeCell ref="J112:K112"/>
    <mergeCell ref="L112:M112"/>
    <mergeCell ref="N112:O112"/>
    <mergeCell ref="F88:G89"/>
    <mergeCell ref="H88:K88"/>
    <mergeCell ref="L88:O88"/>
    <mergeCell ref="P88:Q89"/>
    <mergeCell ref="H89:I89"/>
    <mergeCell ref="J89:K89"/>
    <mergeCell ref="L89:M89"/>
    <mergeCell ref="N89:O89"/>
    <mergeCell ref="F68:G69"/>
    <mergeCell ref="H68:K68"/>
    <mergeCell ref="L68:O68"/>
    <mergeCell ref="P68:Q69"/>
    <mergeCell ref="H69:I69"/>
    <mergeCell ref="J69:K69"/>
    <mergeCell ref="L69:M69"/>
    <mergeCell ref="N69:O69"/>
    <mergeCell ref="F48:G49"/>
    <mergeCell ref="H48:K48"/>
    <mergeCell ref="L48:O48"/>
    <mergeCell ref="P48:Q49"/>
    <mergeCell ref="H49:I49"/>
    <mergeCell ref="J49:K49"/>
    <mergeCell ref="L49:M49"/>
    <mergeCell ref="N49:O49"/>
    <mergeCell ref="F28:G29"/>
    <mergeCell ref="H28:K28"/>
    <mergeCell ref="L28:O28"/>
    <mergeCell ref="P28:Q29"/>
    <mergeCell ref="H29:I29"/>
    <mergeCell ref="J29:K29"/>
    <mergeCell ref="L29:M29"/>
    <mergeCell ref="N29:O29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N17"/>
  <sheetViews>
    <sheetView workbookViewId="0">
      <selection activeCell="I29" sqref="I29"/>
    </sheetView>
  </sheetViews>
  <sheetFormatPr defaultColWidth="17.625" defaultRowHeight="20.100000000000001" customHeight="1" x14ac:dyDescent="0.15"/>
  <sheetData>
    <row r="7" spans="1:14" ht="20.100000000000001" customHeight="1" x14ac:dyDescent="0.15">
      <c r="A7" t="s">
        <v>0</v>
      </c>
    </row>
    <row r="8" spans="1:14" s="1" customFormat="1" ht="20.100000000000001" customHeight="1" x14ac:dyDescent="0.15">
      <c r="A8" s="7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</row>
    <row r="9" spans="1:14" ht="20.100000000000001" customHeight="1" x14ac:dyDescent="0.15">
      <c r="A9" s="8" t="s">
        <v>15</v>
      </c>
      <c r="B9" s="2">
        <v>62</v>
      </c>
      <c r="C9" s="2">
        <v>202</v>
      </c>
      <c r="D9" s="2">
        <v>119</v>
      </c>
      <c r="E9" s="2">
        <v>124</v>
      </c>
      <c r="F9" s="2">
        <v>34</v>
      </c>
      <c r="G9" s="2">
        <v>133</v>
      </c>
      <c r="H9" s="2">
        <v>5</v>
      </c>
      <c r="I9" s="2">
        <v>18</v>
      </c>
      <c r="J9" s="2">
        <v>267</v>
      </c>
      <c r="K9" s="2">
        <v>87</v>
      </c>
      <c r="L9" s="2">
        <v>38</v>
      </c>
      <c r="M9" s="2">
        <v>85</v>
      </c>
      <c r="N9" s="2">
        <f>SUM(B9:M9)</f>
        <v>1174</v>
      </c>
    </row>
    <row r="10" spans="1:14" ht="20.100000000000001" customHeight="1" x14ac:dyDescent="0.15">
      <c r="A10" s="8" t="s">
        <v>16</v>
      </c>
      <c r="B10" s="2">
        <v>894</v>
      </c>
      <c r="C10" s="2">
        <v>2095</v>
      </c>
      <c r="D10" s="2">
        <v>1464</v>
      </c>
      <c r="E10" s="2">
        <v>1080</v>
      </c>
      <c r="F10" s="2">
        <v>1048</v>
      </c>
      <c r="G10" s="2">
        <v>2715</v>
      </c>
      <c r="H10" s="2">
        <v>310</v>
      </c>
      <c r="I10" s="2">
        <v>667</v>
      </c>
      <c r="J10" s="2">
        <v>2066</v>
      </c>
      <c r="K10" s="2">
        <v>2780</v>
      </c>
      <c r="L10" s="2">
        <v>704</v>
      </c>
      <c r="M10" s="2">
        <v>1650</v>
      </c>
      <c r="N10" s="2">
        <f>SUM(B10:M10)</f>
        <v>17473</v>
      </c>
    </row>
    <row r="11" spans="1:14" s="6" customFormat="1" ht="20.100000000000001" customHeight="1" x14ac:dyDescent="0.15">
      <c r="A11" s="9" t="s">
        <v>17</v>
      </c>
      <c r="B11" s="5">
        <f t="shared" ref="B11:N11" si="0">B9/B10</f>
        <v>6.9351230425055893E-2</v>
      </c>
      <c r="C11" s="5">
        <f t="shared" si="0"/>
        <v>9.6420047732696898E-2</v>
      </c>
      <c r="D11" s="5">
        <f t="shared" si="0"/>
        <v>8.1284153005464502E-2</v>
      </c>
      <c r="E11" s="5">
        <f t="shared" si="0"/>
        <v>0.11481481481481499</v>
      </c>
      <c r="F11" s="5">
        <f t="shared" si="0"/>
        <v>3.2442748091603101E-2</v>
      </c>
      <c r="G11" s="5">
        <f t="shared" si="0"/>
        <v>4.8987108655616902E-2</v>
      </c>
      <c r="H11" s="5">
        <f t="shared" si="0"/>
        <v>1.6129032258064498E-2</v>
      </c>
      <c r="I11" s="5">
        <f t="shared" si="0"/>
        <v>2.6986506746626698E-2</v>
      </c>
      <c r="J11" s="5">
        <f t="shared" si="0"/>
        <v>0.129235237173282</v>
      </c>
      <c r="K11" s="5">
        <f t="shared" si="0"/>
        <v>3.1294964028777003E-2</v>
      </c>
      <c r="L11" s="5">
        <f t="shared" si="0"/>
        <v>5.39772727272727E-2</v>
      </c>
      <c r="M11" s="5">
        <f t="shared" si="0"/>
        <v>5.15151515151515E-2</v>
      </c>
      <c r="N11" s="5">
        <f t="shared" si="0"/>
        <v>6.7189377897327304E-2</v>
      </c>
    </row>
    <row r="12" spans="1:14" ht="20.100000000000001" customHeight="1" x14ac:dyDescent="0.1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0.100000000000001" customHeight="1" x14ac:dyDescent="0.15">
      <c r="A13" t="s">
        <v>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s="3" customFormat="1" ht="20.100000000000001" customHeight="1" x14ac:dyDescent="0.15">
      <c r="A14" s="7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</row>
    <row r="15" spans="1:14" ht="20.100000000000001" customHeight="1" x14ac:dyDescent="0.15">
      <c r="A15" s="8" t="s">
        <v>15</v>
      </c>
      <c r="B15" s="2">
        <v>12</v>
      </c>
      <c r="C15" s="2">
        <v>115</v>
      </c>
      <c r="D15" s="2">
        <v>76</v>
      </c>
      <c r="E15" s="2">
        <v>51</v>
      </c>
      <c r="F15" s="2">
        <v>25</v>
      </c>
      <c r="G15" s="2">
        <v>75</v>
      </c>
      <c r="H15" s="2">
        <v>5</v>
      </c>
      <c r="I15" s="2">
        <v>12</v>
      </c>
      <c r="J15" s="2">
        <v>206</v>
      </c>
      <c r="K15" s="2">
        <v>66</v>
      </c>
      <c r="L15" s="2">
        <v>28</v>
      </c>
      <c r="M15" s="2">
        <v>68</v>
      </c>
      <c r="N15" s="2">
        <f>SUM(B15:M15)</f>
        <v>739</v>
      </c>
    </row>
    <row r="16" spans="1:14" ht="20.100000000000001" customHeight="1" x14ac:dyDescent="0.15">
      <c r="A16" s="8" t="s">
        <v>16</v>
      </c>
      <c r="B16" s="2">
        <v>894</v>
      </c>
      <c r="C16" s="2">
        <v>2095</v>
      </c>
      <c r="D16" s="2">
        <v>1464</v>
      </c>
      <c r="E16" s="2">
        <v>1080</v>
      </c>
      <c r="F16" s="2">
        <v>1048</v>
      </c>
      <c r="G16" s="2">
        <v>2715</v>
      </c>
      <c r="H16" s="2">
        <v>310</v>
      </c>
      <c r="I16" s="2">
        <v>667</v>
      </c>
      <c r="J16" s="2">
        <v>2066</v>
      </c>
      <c r="K16" s="2">
        <v>2780</v>
      </c>
      <c r="L16" s="2">
        <v>704</v>
      </c>
      <c r="M16" s="2">
        <v>1650</v>
      </c>
      <c r="N16" s="2">
        <f>SUM(B16:M16)</f>
        <v>17473</v>
      </c>
    </row>
    <row r="17" spans="1:14" s="6" customFormat="1" ht="20.100000000000001" customHeight="1" x14ac:dyDescent="0.15">
      <c r="A17" s="9" t="s">
        <v>17</v>
      </c>
      <c r="B17" s="5">
        <f t="shared" ref="B17:N17" si="1">B15/B16</f>
        <v>1.34228187919463E-2</v>
      </c>
      <c r="C17" s="5">
        <f t="shared" si="1"/>
        <v>5.4892601431980902E-2</v>
      </c>
      <c r="D17" s="5">
        <f t="shared" si="1"/>
        <v>5.1912568306010903E-2</v>
      </c>
      <c r="E17" s="5">
        <f t="shared" si="1"/>
        <v>4.72222222222222E-2</v>
      </c>
      <c r="F17" s="5">
        <f t="shared" si="1"/>
        <v>2.3854961832061101E-2</v>
      </c>
      <c r="G17" s="5">
        <f t="shared" si="1"/>
        <v>2.7624309392265199E-2</v>
      </c>
      <c r="H17" s="5">
        <f t="shared" si="1"/>
        <v>1.6129032258064498E-2</v>
      </c>
      <c r="I17" s="5">
        <f t="shared" si="1"/>
        <v>1.7991004497751099E-2</v>
      </c>
      <c r="J17" s="5">
        <f t="shared" si="1"/>
        <v>9.9709583736689297E-2</v>
      </c>
      <c r="K17" s="5">
        <f t="shared" si="1"/>
        <v>2.3741007194244601E-2</v>
      </c>
      <c r="L17" s="5">
        <f t="shared" si="1"/>
        <v>3.97727272727273E-2</v>
      </c>
      <c r="M17" s="5">
        <f t="shared" si="1"/>
        <v>4.12121212121212E-2</v>
      </c>
      <c r="N17" s="5">
        <f t="shared" si="1"/>
        <v>4.2293824758198401E-2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G182"/>
  <sheetViews>
    <sheetView topLeftCell="A148" workbookViewId="0">
      <selection activeCell="A153" sqref="A153"/>
    </sheetView>
  </sheetViews>
  <sheetFormatPr defaultColWidth="9" defaultRowHeight="13.5" x14ac:dyDescent="0.15"/>
  <cols>
    <col min="1" max="1" width="18.5" customWidth="1"/>
    <col min="2" max="2" width="20.5" customWidth="1"/>
    <col min="3" max="3" width="20.75" customWidth="1"/>
    <col min="4" max="4" width="25.5" customWidth="1"/>
    <col min="5" max="5" width="19" customWidth="1"/>
    <col min="6" max="6" width="23.125" customWidth="1"/>
    <col min="7" max="7" width="22" customWidth="1"/>
  </cols>
  <sheetData>
    <row r="5" spans="5:7" ht="14.25" x14ac:dyDescent="0.2">
      <c r="E5" s="10"/>
      <c r="F5" s="10"/>
      <c r="G5" s="10"/>
    </row>
    <row r="6" spans="5:7" ht="14.25" x14ac:dyDescent="0.2">
      <c r="E6" s="10"/>
      <c r="F6" s="10"/>
      <c r="G6" s="10"/>
    </row>
    <row r="7" spans="5:7" ht="14.25" x14ac:dyDescent="0.2">
      <c r="E7" s="10"/>
      <c r="F7" s="10"/>
      <c r="G7" s="10"/>
    </row>
    <row r="8" spans="5:7" ht="14.25" x14ac:dyDescent="0.2">
      <c r="E8" s="10"/>
      <c r="F8" s="10"/>
      <c r="G8" s="10"/>
    </row>
    <row r="9" spans="5:7" ht="14.25" x14ac:dyDescent="0.2">
      <c r="E9" s="10"/>
      <c r="F9" s="10"/>
      <c r="G9" s="10"/>
    </row>
    <row r="10" spans="5:7" ht="14.25" x14ac:dyDescent="0.2">
      <c r="E10" s="10"/>
      <c r="F10" s="10"/>
      <c r="G10" s="10"/>
    </row>
    <row r="11" spans="5:7" ht="14.25" x14ac:dyDescent="0.2">
      <c r="E11" s="10"/>
      <c r="F11" s="10"/>
      <c r="G11" s="10"/>
    </row>
    <row r="12" spans="5:7" ht="14.25" x14ac:dyDescent="0.2">
      <c r="E12" s="10"/>
      <c r="F12" s="10"/>
      <c r="G12" s="10"/>
    </row>
    <row r="13" spans="5:7" ht="14.25" x14ac:dyDescent="0.2">
      <c r="E13" s="10"/>
      <c r="F13" s="10"/>
      <c r="G13" s="10"/>
    </row>
    <row r="14" spans="5:7" ht="14.25" x14ac:dyDescent="0.2">
      <c r="E14" s="10"/>
      <c r="F14" s="10"/>
      <c r="G14" s="10"/>
    </row>
    <row r="15" spans="5:7" ht="14.25" x14ac:dyDescent="0.2">
      <c r="E15" s="10"/>
      <c r="F15" s="10"/>
      <c r="G15" s="10"/>
    </row>
    <row r="16" spans="5:7" ht="14.25" x14ac:dyDescent="0.2">
      <c r="E16" s="10"/>
      <c r="F16" s="10"/>
      <c r="G16" s="10"/>
    </row>
    <row r="17" spans="5:7" ht="14.25" x14ac:dyDescent="0.2">
      <c r="E17" s="10"/>
      <c r="F17" s="10"/>
      <c r="G17" s="10"/>
    </row>
    <row r="18" spans="5:7" ht="14.25" x14ac:dyDescent="0.2">
      <c r="E18" s="10"/>
      <c r="F18" s="10"/>
      <c r="G18" s="10"/>
    </row>
    <row r="19" spans="5:7" ht="14.25" x14ac:dyDescent="0.2">
      <c r="E19" s="10"/>
      <c r="F19" s="10"/>
      <c r="G19" s="10"/>
    </row>
    <row r="20" spans="5:7" ht="14.25" x14ac:dyDescent="0.2">
      <c r="E20" s="10"/>
      <c r="F20" s="10"/>
      <c r="G20" s="10"/>
    </row>
    <row r="21" spans="5:7" ht="14.25" x14ac:dyDescent="0.2">
      <c r="E21" s="10"/>
      <c r="F21" s="10"/>
      <c r="G21" s="10"/>
    </row>
    <row r="22" spans="5:7" ht="14.25" x14ac:dyDescent="0.2">
      <c r="E22" s="10"/>
      <c r="F22" s="10"/>
      <c r="G22" s="10"/>
    </row>
    <row r="23" spans="5:7" ht="14.25" x14ac:dyDescent="0.2">
      <c r="E23" s="10"/>
      <c r="F23" s="10"/>
      <c r="G23" s="10"/>
    </row>
    <row r="24" spans="5:7" ht="14.25" x14ac:dyDescent="0.2">
      <c r="E24" s="10"/>
      <c r="F24" s="10"/>
      <c r="G24" s="10"/>
    </row>
    <row r="25" spans="5:7" ht="14.25" x14ac:dyDescent="0.2">
      <c r="E25" s="10"/>
      <c r="F25" s="10"/>
      <c r="G25" s="10"/>
    </row>
    <row r="26" spans="5:7" ht="14.25" x14ac:dyDescent="0.2">
      <c r="E26" s="10"/>
      <c r="F26" s="10"/>
      <c r="G26" s="10"/>
    </row>
    <row r="27" spans="5:7" ht="14.25" x14ac:dyDescent="0.2">
      <c r="E27" s="10"/>
      <c r="F27" s="10"/>
      <c r="G27" s="10"/>
    </row>
    <row r="28" spans="5:7" ht="14.25" x14ac:dyDescent="0.2">
      <c r="E28" s="10"/>
      <c r="F28" s="10"/>
      <c r="G28" s="10"/>
    </row>
    <row r="29" spans="5:7" ht="14.25" x14ac:dyDescent="0.2">
      <c r="E29" s="10"/>
      <c r="F29" s="10"/>
      <c r="G29" s="10"/>
    </row>
    <row r="30" spans="5:7" ht="14.25" x14ac:dyDescent="0.2">
      <c r="E30" s="10"/>
      <c r="F30" s="10"/>
      <c r="G30" s="10"/>
    </row>
    <row r="31" spans="5:7" ht="14.25" x14ac:dyDescent="0.2">
      <c r="E31" s="10"/>
      <c r="F31" s="10"/>
      <c r="G31" s="10"/>
    </row>
    <row r="32" spans="5:7" ht="14.25" x14ac:dyDescent="0.2">
      <c r="E32" s="10"/>
      <c r="F32" s="10"/>
      <c r="G32" s="10"/>
    </row>
    <row r="33" spans="5:7" ht="14.25" x14ac:dyDescent="0.2">
      <c r="E33" s="10"/>
      <c r="F33" s="10"/>
      <c r="G33" s="10"/>
    </row>
    <row r="34" spans="5:7" ht="14.25" x14ac:dyDescent="0.2">
      <c r="E34" s="10"/>
      <c r="F34" s="10"/>
      <c r="G34" s="10"/>
    </row>
    <row r="35" spans="5:7" ht="14.25" x14ac:dyDescent="0.2">
      <c r="E35" s="10"/>
      <c r="F35" s="10"/>
      <c r="G35" s="10"/>
    </row>
    <row r="36" spans="5:7" ht="14.25" x14ac:dyDescent="0.2">
      <c r="E36" s="10"/>
      <c r="F36" s="10"/>
      <c r="G36" s="10"/>
    </row>
    <row r="37" spans="5:7" ht="14.25" x14ac:dyDescent="0.2">
      <c r="E37" s="10"/>
      <c r="F37" s="10"/>
      <c r="G37" s="10"/>
    </row>
    <row r="38" spans="5:7" ht="14.25" x14ac:dyDescent="0.2">
      <c r="E38" s="10"/>
      <c r="F38" s="10"/>
      <c r="G38" s="10"/>
    </row>
    <row r="39" spans="5:7" ht="14.25" x14ac:dyDescent="0.2">
      <c r="E39" s="10"/>
      <c r="F39" s="10"/>
      <c r="G39" s="10"/>
    </row>
    <row r="40" spans="5:7" ht="14.25" x14ac:dyDescent="0.2">
      <c r="E40" s="10"/>
      <c r="F40" s="10"/>
      <c r="G40" s="10"/>
    </row>
    <row r="41" spans="5:7" ht="14.25" x14ac:dyDescent="0.2">
      <c r="E41" s="10"/>
      <c r="F41" s="10"/>
      <c r="G41" s="10"/>
    </row>
    <row r="42" spans="5:7" ht="14.25" x14ac:dyDescent="0.2">
      <c r="E42" s="10"/>
      <c r="F42" s="10"/>
      <c r="G42" s="10"/>
    </row>
    <row r="43" spans="5:7" ht="14.25" x14ac:dyDescent="0.2">
      <c r="E43" s="10"/>
      <c r="F43" s="10"/>
      <c r="G43" s="10"/>
    </row>
    <row r="44" spans="5:7" ht="14.25" x14ac:dyDescent="0.2">
      <c r="E44" s="10"/>
      <c r="F44" s="10"/>
      <c r="G44" s="10"/>
    </row>
    <row r="45" spans="5:7" ht="14.25" x14ac:dyDescent="0.2">
      <c r="E45" s="10"/>
      <c r="F45" s="10"/>
      <c r="G45" s="10"/>
    </row>
    <row r="46" spans="5:7" ht="14.25" x14ac:dyDescent="0.2">
      <c r="E46" s="10"/>
      <c r="F46" s="10"/>
      <c r="G46" s="10"/>
    </row>
    <row r="47" spans="5:7" ht="14.25" x14ac:dyDescent="0.2">
      <c r="E47" s="10"/>
      <c r="F47" s="10"/>
      <c r="G47" s="10"/>
    </row>
    <row r="48" spans="5:7" ht="14.25" x14ac:dyDescent="0.2">
      <c r="E48" s="10"/>
      <c r="F48" s="10"/>
      <c r="G48" s="10"/>
    </row>
    <row r="49" spans="5:7" ht="14.25" x14ac:dyDescent="0.2">
      <c r="E49" s="10"/>
      <c r="F49" s="10"/>
      <c r="G49" s="10"/>
    </row>
    <row r="50" spans="5:7" ht="14.25" x14ac:dyDescent="0.2">
      <c r="E50" s="10"/>
      <c r="F50" s="10"/>
      <c r="G50" s="10"/>
    </row>
    <row r="51" spans="5:7" ht="14.25" x14ac:dyDescent="0.2">
      <c r="E51" s="10"/>
      <c r="F51" s="10"/>
      <c r="G51" s="10"/>
    </row>
    <row r="52" spans="5:7" ht="14.25" x14ac:dyDescent="0.2">
      <c r="E52" s="10"/>
      <c r="F52" s="10"/>
      <c r="G52" s="10"/>
    </row>
    <row r="53" spans="5:7" ht="14.25" x14ac:dyDescent="0.2">
      <c r="E53" s="10"/>
      <c r="F53" s="10"/>
      <c r="G53" s="10"/>
    </row>
    <row r="54" spans="5:7" ht="14.25" x14ac:dyDescent="0.2">
      <c r="E54" s="10"/>
      <c r="F54" s="10"/>
      <c r="G54" s="10"/>
    </row>
    <row r="55" spans="5:7" ht="14.25" x14ac:dyDescent="0.2">
      <c r="E55" s="10"/>
      <c r="F55" s="10"/>
      <c r="G55" s="10"/>
    </row>
    <row r="56" spans="5:7" ht="14.25" x14ac:dyDescent="0.2">
      <c r="E56" s="10"/>
      <c r="F56" s="10"/>
      <c r="G56" s="10"/>
    </row>
    <row r="57" spans="5:7" ht="14.25" x14ac:dyDescent="0.2">
      <c r="E57" s="10"/>
      <c r="F57" s="10"/>
      <c r="G57" s="10"/>
    </row>
    <row r="58" spans="5:7" ht="14.25" x14ac:dyDescent="0.2">
      <c r="E58" s="10"/>
      <c r="F58" s="10"/>
      <c r="G58" s="10"/>
    </row>
    <row r="59" spans="5:7" ht="14.25" x14ac:dyDescent="0.2">
      <c r="E59" s="10"/>
      <c r="F59" s="10"/>
      <c r="G59" s="10"/>
    </row>
    <row r="60" spans="5:7" ht="14.25" x14ac:dyDescent="0.2">
      <c r="E60" s="10"/>
      <c r="F60" s="10"/>
      <c r="G60" s="10"/>
    </row>
    <row r="61" spans="5:7" ht="14.25" x14ac:dyDescent="0.2">
      <c r="E61" s="10"/>
      <c r="F61" s="10"/>
      <c r="G61" s="10"/>
    </row>
    <row r="62" spans="5:7" ht="14.25" x14ac:dyDescent="0.2">
      <c r="E62" s="10"/>
      <c r="F62" s="10"/>
      <c r="G62" s="10"/>
    </row>
    <row r="63" spans="5:7" ht="14.25" x14ac:dyDescent="0.2">
      <c r="E63" s="10"/>
      <c r="F63" s="10"/>
      <c r="G63" s="10"/>
    </row>
    <row r="64" spans="5:7" ht="14.25" x14ac:dyDescent="0.2">
      <c r="E64" s="10"/>
      <c r="F64" s="10"/>
      <c r="G64" s="10"/>
    </row>
    <row r="65" spans="5:7" ht="14.25" x14ac:dyDescent="0.2">
      <c r="E65" s="10"/>
      <c r="F65" s="10"/>
      <c r="G65" s="10"/>
    </row>
    <row r="66" spans="5:7" ht="14.25" x14ac:dyDescent="0.2">
      <c r="E66" s="10"/>
      <c r="F66" s="10"/>
      <c r="G66" s="10"/>
    </row>
    <row r="67" spans="5:7" ht="14.25" x14ac:dyDescent="0.2">
      <c r="E67" s="10"/>
      <c r="F67" s="10"/>
      <c r="G67" s="10"/>
    </row>
    <row r="68" spans="5:7" ht="14.25" x14ac:dyDescent="0.2">
      <c r="E68" s="10"/>
      <c r="F68" s="10"/>
      <c r="G68" s="10"/>
    </row>
    <row r="69" spans="5:7" ht="14.25" x14ac:dyDescent="0.2">
      <c r="E69" s="10"/>
      <c r="F69" s="10"/>
      <c r="G69" s="10"/>
    </row>
    <row r="70" spans="5:7" ht="14.25" x14ac:dyDescent="0.2">
      <c r="E70" s="10"/>
      <c r="F70" s="10"/>
      <c r="G70" s="10"/>
    </row>
    <row r="71" spans="5:7" ht="14.25" x14ac:dyDescent="0.2">
      <c r="E71" s="10"/>
      <c r="F71" s="10"/>
      <c r="G71" s="10"/>
    </row>
    <row r="72" spans="5:7" ht="14.25" x14ac:dyDescent="0.2">
      <c r="E72" s="10"/>
      <c r="F72" s="10"/>
      <c r="G72" s="10"/>
    </row>
    <row r="73" spans="5:7" ht="14.25" x14ac:dyDescent="0.2">
      <c r="E73" s="10"/>
      <c r="F73" s="10"/>
      <c r="G73" s="10"/>
    </row>
    <row r="74" spans="5:7" ht="14.25" x14ac:dyDescent="0.2">
      <c r="E74" s="10"/>
      <c r="F74" s="10"/>
      <c r="G74" s="10"/>
    </row>
    <row r="75" spans="5:7" ht="14.25" x14ac:dyDescent="0.2">
      <c r="E75" s="10"/>
      <c r="F75" s="10"/>
      <c r="G75" s="10"/>
    </row>
    <row r="76" spans="5:7" ht="14.25" x14ac:dyDescent="0.2">
      <c r="E76" s="10"/>
      <c r="F76" s="10"/>
      <c r="G76" s="10"/>
    </row>
    <row r="77" spans="5:7" ht="14.25" x14ac:dyDescent="0.2">
      <c r="E77" s="10"/>
      <c r="F77" s="10"/>
      <c r="G77" s="10"/>
    </row>
    <row r="78" spans="5:7" ht="14.25" x14ac:dyDescent="0.2">
      <c r="E78" s="10"/>
      <c r="F78" s="10"/>
      <c r="G78" s="10"/>
    </row>
    <row r="79" spans="5:7" ht="14.25" x14ac:dyDescent="0.2">
      <c r="E79" s="10"/>
      <c r="F79" s="10"/>
      <c r="G79" s="10"/>
    </row>
    <row r="80" spans="5:7" ht="14.25" x14ac:dyDescent="0.2">
      <c r="E80" s="10"/>
      <c r="F80" s="10"/>
      <c r="G80" s="10"/>
    </row>
    <row r="81" spans="5:7" ht="14.25" x14ac:dyDescent="0.2">
      <c r="E81" s="10"/>
      <c r="F81" s="10"/>
      <c r="G81" s="10"/>
    </row>
    <row r="82" spans="5:7" ht="14.25" x14ac:dyDescent="0.2">
      <c r="E82" s="10"/>
      <c r="F82" s="10"/>
      <c r="G82" s="10"/>
    </row>
    <row r="83" spans="5:7" ht="14.25" x14ac:dyDescent="0.2">
      <c r="E83" s="10"/>
      <c r="F83" s="10"/>
      <c r="G83" s="10"/>
    </row>
    <row r="84" spans="5:7" ht="14.25" x14ac:dyDescent="0.2">
      <c r="E84" s="10"/>
      <c r="F84" s="10"/>
      <c r="G84" s="10"/>
    </row>
    <row r="85" spans="5:7" ht="14.25" x14ac:dyDescent="0.2">
      <c r="E85" s="10"/>
      <c r="F85" s="10"/>
      <c r="G85" s="10"/>
    </row>
    <row r="86" spans="5:7" ht="14.25" x14ac:dyDescent="0.2">
      <c r="E86" s="10"/>
      <c r="F86" s="10"/>
      <c r="G86" s="10"/>
    </row>
    <row r="87" spans="5:7" ht="14.25" x14ac:dyDescent="0.2">
      <c r="E87" s="10"/>
      <c r="F87" s="10"/>
      <c r="G87" s="10"/>
    </row>
    <row r="88" spans="5:7" ht="14.25" x14ac:dyDescent="0.2">
      <c r="E88" s="10"/>
      <c r="F88" s="10"/>
      <c r="G88" s="10"/>
    </row>
    <row r="89" spans="5:7" ht="14.25" x14ac:dyDescent="0.2">
      <c r="E89" s="10"/>
      <c r="F89" s="10"/>
      <c r="G89" s="10"/>
    </row>
    <row r="90" spans="5:7" ht="14.25" x14ac:dyDescent="0.2">
      <c r="E90" s="10"/>
      <c r="F90" s="10"/>
      <c r="G90" s="10"/>
    </row>
    <row r="91" spans="5:7" ht="14.25" x14ac:dyDescent="0.2">
      <c r="E91" s="10"/>
      <c r="F91" s="10"/>
      <c r="G91" s="10"/>
    </row>
    <row r="92" spans="5:7" ht="14.25" x14ac:dyDescent="0.2">
      <c r="E92" s="10"/>
      <c r="F92" s="10"/>
      <c r="G92" s="10"/>
    </row>
    <row r="93" spans="5:7" ht="14.25" x14ac:dyDescent="0.2">
      <c r="E93" s="10"/>
      <c r="F93" s="10"/>
      <c r="G93" s="10"/>
    </row>
    <row r="94" spans="5:7" ht="14.25" x14ac:dyDescent="0.2">
      <c r="E94" s="10"/>
      <c r="F94" s="10"/>
      <c r="G94" s="10"/>
    </row>
    <row r="95" spans="5:7" ht="14.25" x14ac:dyDescent="0.2">
      <c r="E95" s="10"/>
      <c r="F95" s="10"/>
      <c r="G95" s="10"/>
    </row>
    <row r="96" spans="5:7" ht="14.25" x14ac:dyDescent="0.2">
      <c r="E96" s="10"/>
      <c r="F96" s="10"/>
      <c r="G96" s="10"/>
    </row>
    <row r="97" spans="5:7" ht="14.25" x14ac:dyDescent="0.2">
      <c r="E97" s="10"/>
      <c r="F97" s="10"/>
      <c r="G97" s="10"/>
    </row>
    <row r="98" spans="5:7" ht="14.25" x14ac:dyDescent="0.2">
      <c r="E98" s="10"/>
      <c r="F98" s="10"/>
      <c r="G98" s="10"/>
    </row>
    <row r="99" spans="5:7" ht="14.25" x14ac:dyDescent="0.2">
      <c r="E99" s="10"/>
      <c r="F99" s="10"/>
      <c r="G99" s="10"/>
    </row>
    <row r="100" spans="5:7" ht="14.25" x14ac:dyDescent="0.2">
      <c r="E100" s="10"/>
      <c r="F100" s="10"/>
      <c r="G100" s="10"/>
    </row>
    <row r="101" spans="5:7" ht="14.25" x14ac:dyDescent="0.2">
      <c r="E101" s="10"/>
      <c r="F101" s="10"/>
      <c r="G101" s="10"/>
    </row>
    <row r="102" spans="5:7" ht="14.25" x14ac:dyDescent="0.2">
      <c r="E102" s="10"/>
      <c r="F102" s="10"/>
      <c r="G102" s="10"/>
    </row>
    <row r="103" spans="5:7" ht="14.25" x14ac:dyDescent="0.2">
      <c r="E103" s="10"/>
      <c r="F103" s="10"/>
      <c r="G103" s="10"/>
    </row>
    <row r="104" spans="5:7" ht="14.25" x14ac:dyDescent="0.2">
      <c r="E104" s="10"/>
      <c r="F104" s="10"/>
      <c r="G104" s="10"/>
    </row>
    <row r="105" spans="5:7" ht="14.25" x14ac:dyDescent="0.2">
      <c r="E105" s="10"/>
      <c r="F105" s="10"/>
      <c r="G105" s="10"/>
    </row>
    <row r="106" spans="5:7" ht="14.25" x14ac:dyDescent="0.2">
      <c r="E106" s="10"/>
      <c r="F106" s="10"/>
      <c r="G106" s="10"/>
    </row>
    <row r="107" spans="5:7" ht="14.25" x14ac:dyDescent="0.2">
      <c r="E107" s="10"/>
      <c r="F107" s="10"/>
      <c r="G107" s="10"/>
    </row>
    <row r="108" spans="5:7" ht="14.25" x14ac:dyDescent="0.2">
      <c r="E108" s="10"/>
      <c r="F108" s="10"/>
      <c r="G108" s="10"/>
    </row>
    <row r="109" spans="5:7" ht="14.25" x14ac:dyDescent="0.2">
      <c r="E109" s="10"/>
      <c r="F109" s="10"/>
      <c r="G109" s="10"/>
    </row>
    <row r="110" spans="5:7" ht="14.25" x14ac:dyDescent="0.2">
      <c r="E110" s="10"/>
      <c r="F110" s="10"/>
      <c r="G110" s="10"/>
    </row>
    <row r="111" spans="5:7" ht="14.25" x14ac:dyDescent="0.2">
      <c r="E111" s="10"/>
      <c r="F111" s="10"/>
      <c r="G111" s="10"/>
    </row>
    <row r="112" spans="5:7" ht="14.25" x14ac:dyDescent="0.2">
      <c r="E112" s="10"/>
      <c r="F112" s="10"/>
      <c r="G112" s="10"/>
    </row>
    <row r="113" spans="5:7" ht="14.25" x14ac:dyDescent="0.2">
      <c r="E113" s="10"/>
      <c r="F113" s="10"/>
      <c r="G113" s="10"/>
    </row>
    <row r="114" spans="5:7" ht="14.25" x14ac:dyDescent="0.2">
      <c r="E114" s="10"/>
      <c r="F114" s="10"/>
      <c r="G114" s="10"/>
    </row>
    <row r="115" spans="5:7" ht="14.25" x14ac:dyDescent="0.2">
      <c r="E115" s="10"/>
      <c r="F115" s="10"/>
      <c r="G115" s="10"/>
    </row>
    <row r="116" spans="5:7" ht="14.25" x14ac:dyDescent="0.2">
      <c r="E116" s="10"/>
      <c r="F116" s="10"/>
      <c r="G116" s="10"/>
    </row>
    <row r="117" spans="5:7" ht="14.25" x14ac:dyDescent="0.2">
      <c r="E117" s="10"/>
      <c r="F117" s="10"/>
      <c r="G117" s="10"/>
    </row>
    <row r="118" spans="5:7" ht="14.25" x14ac:dyDescent="0.2">
      <c r="E118" s="10"/>
      <c r="F118" s="10"/>
      <c r="G118" s="10"/>
    </row>
    <row r="119" spans="5:7" ht="14.25" x14ac:dyDescent="0.2">
      <c r="E119" s="10"/>
      <c r="F119" s="10"/>
      <c r="G119" s="10"/>
    </row>
    <row r="120" spans="5:7" ht="14.25" x14ac:dyDescent="0.2">
      <c r="E120" s="10"/>
      <c r="F120" s="10"/>
      <c r="G120" s="10"/>
    </row>
    <row r="121" spans="5:7" ht="14.25" x14ac:dyDescent="0.2">
      <c r="E121" s="10"/>
      <c r="F121" s="10"/>
      <c r="G121" s="10"/>
    </row>
    <row r="122" spans="5:7" ht="14.25" x14ac:dyDescent="0.2">
      <c r="E122" s="10"/>
      <c r="F122" s="10"/>
      <c r="G122" s="10"/>
    </row>
    <row r="123" spans="5:7" ht="14.25" x14ac:dyDescent="0.2">
      <c r="E123" s="10"/>
      <c r="F123" s="10"/>
      <c r="G123" s="10"/>
    </row>
    <row r="124" spans="5:7" ht="14.25" x14ac:dyDescent="0.2">
      <c r="E124" s="10"/>
      <c r="F124" s="10"/>
      <c r="G124" s="10"/>
    </row>
    <row r="125" spans="5:7" ht="14.25" x14ac:dyDescent="0.2">
      <c r="E125" s="10"/>
      <c r="F125" s="10"/>
      <c r="G125" s="10"/>
    </row>
    <row r="126" spans="5:7" ht="14.25" x14ac:dyDescent="0.2">
      <c r="E126" s="10"/>
      <c r="F126" s="10"/>
      <c r="G126" s="10"/>
    </row>
    <row r="127" spans="5:7" ht="14.25" x14ac:dyDescent="0.2">
      <c r="E127" s="10"/>
      <c r="F127" s="10"/>
      <c r="G127" s="10"/>
    </row>
    <row r="128" spans="5:7" ht="14.25" x14ac:dyDescent="0.2">
      <c r="E128" s="10"/>
      <c r="F128" s="10"/>
      <c r="G128" s="10"/>
    </row>
    <row r="129" spans="5:7" ht="14.25" x14ac:dyDescent="0.2">
      <c r="E129" s="10"/>
      <c r="F129" s="10"/>
      <c r="G129" s="10"/>
    </row>
    <row r="130" spans="5:7" ht="14.25" x14ac:dyDescent="0.2">
      <c r="E130" s="10"/>
      <c r="F130" s="10"/>
      <c r="G130" s="10"/>
    </row>
    <row r="131" spans="5:7" ht="14.25" x14ac:dyDescent="0.2">
      <c r="E131" s="10"/>
      <c r="F131" s="10"/>
      <c r="G131" s="10"/>
    </row>
    <row r="132" spans="5:7" ht="14.25" x14ac:dyDescent="0.2">
      <c r="E132" s="10"/>
      <c r="F132" s="10"/>
      <c r="G132" s="10"/>
    </row>
    <row r="133" spans="5:7" ht="14.25" x14ac:dyDescent="0.2">
      <c r="E133" s="10"/>
      <c r="F133" s="10"/>
      <c r="G133" s="10"/>
    </row>
    <row r="134" spans="5:7" ht="14.25" x14ac:dyDescent="0.2">
      <c r="E134" s="10"/>
      <c r="F134" s="10"/>
      <c r="G134" s="10"/>
    </row>
    <row r="135" spans="5:7" ht="14.25" x14ac:dyDescent="0.2">
      <c r="E135" s="10"/>
      <c r="F135" s="10"/>
      <c r="G135" s="10"/>
    </row>
    <row r="136" spans="5:7" ht="14.25" x14ac:dyDescent="0.2">
      <c r="E136" s="10"/>
      <c r="F136" s="10"/>
      <c r="G136" s="10"/>
    </row>
    <row r="137" spans="5:7" ht="14.25" x14ac:dyDescent="0.2">
      <c r="E137" s="10"/>
      <c r="F137" s="10"/>
      <c r="G137" s="10"/>
    </row>
    <row r="138" spans="5:7" ht="14.25" x14ac:dyDescent="0.2">
      <c r="E138" s="10"/>
      <c r="F138" s="10"/>
      <c r="G138" s="10"/>
    </row>
    <row r="139" spans="5:7" ht="14.25" x14ac:dyDescent="0.2">
      <c r="E139" s="10"/>
      <c r="F139" s="10"/>
      <c r="G139" s="10"/>
    </row>
    <row r="140" spans="5:7" ht="14.25" x14ac:dyDescent="0.2">
      <c r="E140" s="10"/>
      <c r="F140" s="10"/>
      <c r="G140" s="10"/>
    </row>
    <row r="141" spans="5:7" ht="14.25" x14ac:dyDescent="0.2">
      <c r="E141" s="10"/>
      <c r="F141" s="10"/>
      <c r="G141" s="10"/>
    </row>
    <row r="142" spans="5:7" ht="14.25" x14ac:dyDescent="0.2">
      <c r="E142" s="10"/>
      <c r="F142" s="10"/>
      <c r="G142" s="10"/>
    </row>
    <row r="143" spans="5:7" ht="14.25" x14ac:dyDescent="0.2">
      <c r="E143" s="10"/>
      <c r="F143" s="10"/>
      <c r="G143" s="10"/>
    </row>
    <row r="144" spans="5:7" ht="14.25" x14ac:dyDescent="0.2">
      <c r="E144" s="10"/>
      <c r="F144" s="10"/>
      <c r="G144" s="10"/>
    </row>
    <row r="145" spans="1:7" ht="14.25" x14ac:dyDescent="0.2">
      <c r="E145" s="10"/>
      <c r="F145" s="10"/>
      <c r="G145" s="10"/>
    </row>
    <row r="146" spans="1:7" ht="14.25" x14ac:dyDescent="0.2">
      <c r="E146" s="10"/>
      <c r="F146" s="10"/>
      <c r="G146" s="10"/>
    </row>
    <row r="147" spans="1:7" ht="14.25" x14ac:dyDescent="0.2">
      <c r="E147" s="10"/>
      <c r="F147" s="10"/>
      <c r="G147" s="10"/>
    </row>
    <row r="148" spans="1:7" ht="14.25" x14ac:dyDescent="0.2">
      <c r="E148" s="10"/>
      <c r="F148" s="10"/>
      <c r="G148" s="10"/>
    </row>
    <row r="149" spans="1:7" ht="14.25" x14ac:dyDescent="0.2">
      <c r="E149" s="10"/>
      <c r="F149" s="10"/>
      <c r="G149" s="10"/>
    </row>
    <row r="150" spans="1:7" ht="14.25" x14ac:dyDescent="0.2">
      <c r="E150" s="10"/>
      <c r="F150" s="10"/>
      <c r="G150" s="10"/>
    </row>
    <row r="151" spans="1:7" ht="14.25" x14ac:dyDescent="0.2">
      <c r="E151" s="10"/>
      <c r="F151" s="10"/>
      <c r="G151" s="10"/>
    </row>
    <row r="152" spans="1:7" ht="14.25" x14ac:dyDescent="0.2">
      <c r="A152" s="15" t="s">
        <v>22</v>
      </c>
      <c r="B152" s="15"/>
      <c r="C152" s="15"/>
      <c r="D152" s="15"/>
      <c r="E152" s="10"/>
      <c r="F152" s="10"/>
      <c r="G152" s="10"/>
    </row>
    <row r="153" spans="1:7" ht="14.25" x14ac:dyDescent="0.2">
      <c r="A153" s="11" t="s">
        <v>27</v>
      </c>
      <c r="B153" s="12" t="s">
        <v>19</v>
      </c>
      <c r="C153" s="12" t="s">
        <v>20</v>
      </c>
      <c r="D153" s="12" t="s">
        <v>21</v>
      </c>
      <c r="E153" s="10"/>
      <c r="F153" s="10"/>
      <c r="G153" s="10"/>
    </row>
    <row r="154" spans="1:7" ht="14.25" x14ac:dyDescent="0.2">
      <c r="A154" t="s">
        <v>5</v>
      </c>
      <c r="B154">
        <v>3949902</v>
      </c>
      <c r="C154">
        <v>3269086</v>
      </c>
      <c r="D154">
        <v>680816</v>
      </c>
      <c r="E154" s="10"/>
      <c r="F154" s="10"/>
      <c r="G154" s="10"/>
    </row>
    <row r="155" spans="1:7" ht="14.25" x14ac:dyDescent="0.2">
      <c r="A155" t="s">
        <v>4</v>
      </c>
      <c r="B155">
        <v>4151285</v>
      </c>
      <c r="C155">
        <v>3228165</v>
      </c>
      <c r="D155">
        <v>923120</v>
      </c>
      <c r="E155" s="10"/>
      <c r="F155" s="10"/>
      <c r="G155" s="10"/>
    </row>
    <row r="156" spans="1:7" ht="14.25" x14ac:dyDescent="0.2">
      <c r="A156" t="s">
        <v>10</v>
      </c>
      <c r="B156">
        <v>3678146</v>
      </c>
      <c r="C156">
        <v>2907077</v>
      </c>
      <c r="D156">
        <v>771069</v>
      </c>
      <c r="E156" s="10"/>
      <c r="F156" s="10"/>
      <c r="G156" s="10"/>
    </row>
    <row r="157" spans="1:7" ht="14.25" x14ac:dyDescent="0.2">
      <c r="A157" t="s">
        <v>9</v>
      </c>
      <c r="B157">
        <v>1818154</v>
      </c>
      <c r="C157">
        <v>1377376</v>
      </c>
      <c r="D157">
        <v>440778</v>
      </c>
      <c r="E157" s="10"/>
      <c r="F157" s="10"/>
      <c r="G157" s="10"/>
    </row>
    <row r="158" spans="1:7" ht="14.25" x14ac:dyDescent="0.2">
      <c r="A158" t="s">
        <v>2</v>
      </c>
      <c r="B158">
        <v>3048276</v>
      </c>
      <c r="C158">
        <v>2353584</v>
      </c>
      <c r="D158">
        <v>694692</v>
      </c>
      <c r="E158" s="10"/>
      <c r="F158" s="10"/>
      <c r="G158" s="10"/>
    </row>
    <row r="159" spans="1:7" ht="14.25" x14ac:dyDescent="0.2">
      <c r="A159" t="s">
        <v>3</v>
      </c>
      <c r="B159">
        <v>10205564</v>
      </c>
      <c r="C159">
        <v>8086512</v>
      </c>
      <c r="D159">
        <v>2119052</v>
      </c>
      <c r="E159" s="10"/>
      <c r="F159" s="10"/>
      <c r="G159" s="10"/>
    </row>
    <row r="160" spans="1:7" ht="14.25" x14ac:dyDescent="0.2">
      <c r="A160" t="s">
        <v>6</v>
      </c>
      <c r="B160">
        <v>2041708</v>
      </c>
      <c r="C160">
        <v>1477286</v>
      </c>
      <c r="D160">
        <v>564422</v>
      </c>
      <c r="E160" s="10"/>
      <c r="F160" s="10"/>
      <c r="G160" s="10"/>
    </row>
    <row r="161" spans="1:7" ht="14.25" x14ac:dyDescent="0.2">
      <c r="A161" t="s">
        <v>8</v>
      </c>
      <c r="B161">
        <v>441673</v>
      </c>
      <c r="C161">
        <v>270963</v>
      </c>
      <c r="D161">
        <v>170710</v>
      </c>
      <c r="E161" s="10"/>
      <c r="F161" s="10"/>
      <c r="G161" s="10"/>
    </row>
    <row r="162" spans="1:7" ht="14.25" x14ac:dyDescent="0.2">
      <c r="A162" t="s">
        <v>11</v>
      </c>
      <c r="B162">
        <v>10491904</v>
      </c>
      <c r="C162">
        <v>8345609</v>
      </c>
      <c r="D162">
        <v>2146295</v>
      </c>
      <c r="E162" s="10"/>
      <c r="F162" s="10"/>
      <c r="G162" s="10"/>
    </row>
    <row r="163" spans="1:7" ht="14.25" x14ac:dyDescent="0.2">
      <c r="A163" t="s">
        <v>12</v>
      </c>
      <c r="B163">
        <v>1804568</v>
      </c>
      <c r="C163">
        <v>1353769</v>
      </c>
      <c r="D163">
        <v>450799</v>
      </c>
      <c r="E163" s="10"/>
      <c r="F163" s="10"/>
      <c r="G163" s="10"/>
    </row>
    <row r="164" spans="1:7" ht="14.25" x14ac:dyDescent="0.2">
      <c r="A164" t="s">
        <v>13</v>
      </c>
      <c r="B164">
        <v>11732337</v>
      </c>
      <c r="C164">
        <v>9160431</v>
      </c>
      <c r="D164">
        <v>2571906</v>
      </c>
      <c r="E164" s="10"/>
      <c r="F164" s="10"/>
      <c r="G164" s="10"/>
    </row>
    <row r="165" spans="1:7" ht="14.25" x14ac:dyDescent="0.2">
      <c r="A165" t="s">
        <v>7</v>
      </c>
      <c r="B165">
        <v>9357188</v>
      </c>
      <c r="C165">
        <v>7227095</v>
      </c>
      <c r="D165">
        <v>2130093</v>
      </c>
      <c r="E165" s="10"/>
      <c r="F165" s="10"/>
      <c r="G165" s="10"/>
    </row>
    <row r="166" spans="1:7" x14ac:dyDescent="0.15">
      <c r="A166" s="11" t="s">
        <v>24</v>
      </c>
      <c r="B166">
        <f>AVERAGE(B154:B165)</f>
        <v>5226725.416666667</v>
      </c>
      <c r="C166">
        <f t="shared" ref="C166:D166" si="0">AVERAGE(C154:C165)</f>
        <v>4088079.4166666665</v>
      </c>
      <c r="D166">
        <f t="shared" si="0"/>
        <v>1138646</v>
      </c>
    </row>
    <row r="167" spans="1:7" x14ac:dyDescent="0.15">
      <c r="G167" s="11"/>
    </row>
    <row r="168" spans="1:7" x14ac:dyDescent="0.15">
      <c r="A168" s="15" t="s">
        <v>25</v>
      </c>
      <c r="B168" s="16"/>
      <c r="C168" s="16"/>
      <c r="D168" s="16"/>
    </row>
    <row r="169" spans="1:7" x14ac:dyDescent="0.15">
      <c r="A169" s="13" t="s">
        <v>27</v>
      </c>
      <c r="B169" s="14" t="s">
        <v>19</v>
      </c>
      <c r="C169" s="14" t="s">
        <v>20</v>
      </c>
      <c r="D169" s="14" t="s">
        <v>21</v>
      </c>
    </row>
    <row r="170" spans="1:7" x14ac:dyDescent="0.15">
      <c r="A170" s="13" t="s">
        <v>5</v>
      </c>
      <c r="B170" s="13">
        <v>8154035</v>
      </c>
      <c r="C170" s="13">
        <v>2772711</v>
      </c>
      <c r="D170" s="13">
        <v>5381324</v>
      </c>
    </row>
    <row r="171" spans="1:7" x14ac:dyDescent="0.15">
      <c r="A171" s="13" t="s">
        <v>4</v>
      </c>
      <c r="B171" s="13">
        <v>9022998</v>
      </c>
      <c r="C171" s="13">
        <v>2558535</v>
      </c>
      <c r="D171" s="13">
        <v>6464463</v>
      </c>
    </row>
    <row r="172" spans="1:7" x14ac:dyDescent="0.15">
      <c r="A172" s="13" t="s">
        <v>10</v>
      </c>
      <c r="B172" s="13">
        <v>8055785</v>
      </c>
      <c r="C172" s="13">
        <v>2167359</v>
      </c>
      <c r="D172" s="13">
        <v>5888426</v>
      </c>
    </row>
    <row r="173" spans="1:7" x14ac:dyDescent="0.15">
      <c r="A173" s="13" t="s">
        <v>9</v>
      </c>
      <c r="B173" s="13">
        <v>4986084</v>
      </c>
      <c r="C173" s="13">
        <v>1084423</v>
      </c>
      <c r="D173" s="13">
        <v>3901661</v>
      </c>
    </row>
    <row r="174" spans="1:7" x14ac:dyDescent="0.15">
      <c r="A174" s="13" t="s">
        <v>2</v>
      </c>
      <c r="B174" s="13">
        <v>7175320</v>
      </c>
      <c r="C174" s="13">
        <v>1818756</v>
      </c>
      <c r="D174" s="13">
        <v>5356564</v>
      </c>
    </row>
    <row r="175" spans="1:7" x14ac:dyDescent="0.15">
      <c r="A175" s="13" t="s">
        <v>3</v>
      </c>
      <c r="B175" s="13">
        <v>18046427</v>
      </c>
      <c r="C175" s="13">
        <v>5246444</v>
      </c>
      <c r="D175" s="13">
        <v>12799983</v>
      </c>
    </row>
    <row r="176" spans="1:7" x14ac:dyDescent="0.15">
      <c r="A176" s="13" t="s">
        <v>6</v>
      </c>
      <c r="B176" s="13">
        <v>6051342</v>
      </c>
      <c r="C176" s="13">
        <v>1344584</v>
      </c>
      <c r="D176" s="13">
        <v>4706758</v>
      </c>
    </row>
    <row r="177" spans="1:4" x14ac:dyDescent="0.15">
      <c r="A177" s="13" t="s">
        <v>8</v>
      </c>
      <c r="B177" s="13">
        <v>1200920</v>
      </c>
      <c r="C177" s="13">
        <v>201169</v>
      </c>
      <c r="D177" s="13">
        <v>999751</v>
      </c>
    </row>
    <row r="178" spans="1:4" x14ac:dyDescent="0.15">
      <c r="A178" s="13" t="s">
        <v>11</v>
      </c>
      <c r="B178" s="13">
        <v>17941081</v>
      </c>
      <c r="C178" s="13">
        <v>5186444</v>
      </c>
      <c r="D178" s="13">
        <v>12754637</v>
      </c>
    </row>
    <row r="179" spans="1:4" x14ac:dyDescent="0.15">
      <c r="A179" s="13" t="s">
        <v>12</v>
      </c>
      <c r="B179" s="13">
        <v>4303706</v>
      </c>
      <c r="C179" s="13">
        <v>1045984</v>
      </c>
      <c r="D179" s="13">
        <v>3257722</v>
      </c>
    </row>
    <row r="180" spans="1:4" x14ac:dyDescent="0.15">
      <c r="A180" s="13" t="s">
        <v>13</v>
      </c>
      <c r="B180" s="13">
        <v>12500582</v>
      </c>
      <c r="C180" s="13">
        <v>3267028</v>
      </c>
      <c r="D180" s="13">
        <v>9233554</v>
      </c>
    </row>
    <row r="181" spans="1:4" x14ac:dyDescent="0.15">
      <c r="A181" s="13" t="s">
        <v>7</v>
      </c>
      <c r="B181" s="13">
        <v>20823126</v>
      </c>
      <c r="C181" s="13">
        <v>5200843</v>
      </c>
      <c r="D181" s="13">
        <v>15622283</v>
      </c>
    </row>
    <row r="182" spans="1:4" x14ac:dyDescent="0.15">
      <c r="A182" s="11" t="s">
        <v>24</v>
      </c>
      <c r="B182">
        <f>AVERAGE(B170:B181)</f>
        <v>9855117.166666666</v>
      </c>
      <c r="C182">
        <f t="shared" ref="C182:D182" si="1">AVERAGE(C170:C181)</f>
        <v>2657856.6666666665</v>
      </c>
      <c r="D182">
        <f t="shared" si="1"/>
        <v>7197260.5</v>
      </c>
    </row>
  </sheetData>
  <mergeCells count="2">
    <mergeCell ref="A152:D152"/>
    <mergeCell ref="A168:D168"/>
  </mergeCells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9690-9CB2-4AEB-B14F-5EA05F1DFC06}">
  <dimension ref="A1:C30"/>
  <sheetViews>
    <sheetView workbookViewId="0">
      <selection activeCell="G36" sqref="G36"/>
    </sheetView>
  </sheetViews>
  <sheetFormatPr defaultRowHeight="13.5" x14ac:dyDescent="0.15"/>
  <cols>
    <col min="1" max="1" width="17.75" customWidth="1"/>
    <col min="2" max="2" width="19" customWidth="1"/>
    <col min="3" max="3" width="21.125" customWidth="1"/>
  </cols>
  <sheetData>
    <row r="1" spans="1:3" x14ac:dyDescent="0.15">
      <c r="B1" s="11" t="s">
        <v>32</v>
      </c>
    </row>
    <row r="15" spans="1:3" ht="14.25" x14ac:dyDescent="0.2">
      <c r="A15" s="17" t="s">
        <v>28</v>
      </c>
      <c r="B15" s="18" t="s">
        <v>34</v>
      </c>
      <c r="C15" s="19" t="s">
        <v>35</v>
      </c>
    </row>
    <row r="16" spans="1:3" ht="14.25" x14ac:dyDescent="0.2">
      <c r="A16" s="17" t="s">
        <v>8</v>
      </c>
      <c r="B16" s="17">
        <v>1184.34399999999</v>
      </c>
      <c r="C16" s="17">
        <v>8696.2459999999992</v>
      </c>
    </row>
    <row r="17" spans="1:3" ht="14.25" x14ac:dyDescent="0.2">
      <c r="A17" s="17" t="s">
        <v>9</v>
      </c>
      <c r="B17" s="17">
        <v>2954.96</v>
      </c>
      <c r="C17" s="17">
        <v>37230.086999999898</v>
      </c>
    </row>
    <row r="18" spans="1:3" ht="14.25" x14ac:dyDescent="0.2">
      <c r="A18" s="17" t="s">
        <v>2</v>
      </c>
      <c r="B18" s="17">
        <v>10356.1959999999</v>
      </c>
      <c r="C18" s="17">
        <v>47834.501999999899</v>
      </c>
    </row>
    <row r="19" spans="1:3" ht="14.25" x14ac:dyDescent="0.2">
      <c r="A19" s="17" t="s">
        <v>4</v>
      </c>
      <c r="B19" s="17">
        <v>7499.9009999999998</v>
      </c>
      <c r="C19" s="17">
        <v>56510.833999999901</v>
      </c>
    </row>
    <row r="20" spans="1:3" ht="14.25" x14ac:dyDescent="0.2">
      <c r="A20" s="17" t="s">
        <v>10</v>
      </c>
      <c r="B20" s="17">
        <v>21127.306</v>
      </c>
      <c r="C20" s="17">
        <v>71956.789000000004</v>
      </c>
    </row>
    <row r="21" spans="1:3" ht="14.25" x14ac:dyDescent="0.2">
      <c r="A21" s="17" t="s">
        <v>13</v>
      </c>
      <c r="B21" s="17">
        <v>10681.114</v>
      </c>
      <c r="C21" s="17">
        <v>94964.027999999904</v>
      </c>
    </row>
    <row r="22" spans="1:3" ht="14.25" x14ac:dyDescent="0.2">
      <c r="A22" s="17" t="s">
        <v>5</v>
      </c>
      <c r="B22" s="17">
        <v>11604.218999999999</v>
      </c>
      <c r="C22" s="17">
        <v>36251.368999999897</v>
      </c>
    </row>
    <row r="23" spans="1:3" ht="14.25" x14ac:dyDescent="0.2">
      <c r="A23" s="17" t="s">
        <v>6</v>
      </c>
      <c r="B23" s="17">
        <v>4619.7239999999902</v>
      </c>
      <c r="C23" s="17">
        <v>26073.761999999901</v>
      </c>
    </row>
    <row r="24" spans="1:3" ht="14.25" x14ac:dyDescent="0.2">
      <c r="A24" s="17" t="s">
        <v>12</v>
      </c>
      <c r="B24" s="17">
        <v>9506.7029999999995</v>
      </c>
      <c r="C24" s="17">
        <v>41704.874000000003</v>
      </c>
    </row>
    <row r="25" spans="1:3" ht="14.25" x14ac:dyDescent="0.2">
      <c r="A25" s="17" t="s">
        <v>11</v>
      </c>
      <c r="B25" s="17">
        <v>41770.325999999899</v>
      </c>
      <c r="C25" s="17">
        <v>99886.885999999897</v>
      </c>
    </row>
    <row r="26" spans="1:3" ht="14.25" x14ac:dyDescent="0.2">
      <c r="A26" s="17" t="s">
        <v>3</v>
      </c>
      <c r="B26" s="17">
        <v>16784.076000000001</v>
      </c>
      <c r="C26" s="17">
        <v>30801.261999999999</v>
      </c>
    </row>
    <row r="27" spans="1:3" ht="14.25" x14ac:dyDescent="0.2">
      <c r="A27" s="17" t="s">
        <v>7</v>
      </c>
      <c r="B27" s="17">
        <v>21221.979999999901</v>
      </c>
      <c r="C27" s="17">
        <v>36670.1519999999</v>
      </c>
    </row>
    <row r="28" spans="1:3" ht="14.25" x14ac:dyDescent="0.2">
      <c r="A28" s="17" t="s">
        <v>33</v>
      </c>
      <c r="B28" s="17">
        <f>AVERAGE(B16:B27)</f>
        <v>13275.904083333306</v>
      </c>
      <c r="C28" s="17">
        <f>AVERAGE(C16:C27)</f>
        <v>49048.399249999929</v>
      </c>
    </row>
    <row r="29" spans="1:3" ht="14.25" x14ac:dyDescent="0.2">
      <c r="A29" s="20" t="s">
        <v>36</v>
      </c>
      <c r="B29" s="17">
        <f>B28/3600</f>
        <v>3.6877511342592517</v>
      </c>
      <c r="C29" s="17">
        <f>C28/3600</f>
        <v>13.624555347222202</v>
      </c>
    </row>
    <row r="30" spans="1:3" ht="14.25" x14ac:dyDescent="0.2">
      <c r="A30" s="20"/>
      <c r="B30" s="20"/>
      <c r="C30" s="17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7323-5043-43DC-ADDA-AB046C17E55D}">
  <dimension ref="C11:G23"/>
  <sheetViews>
    <sheetView workbookViewId="0">
      <selection activeCell="C38" sqref="C38"/>
    </sheetView>
  </sheetViews>
  <sheetFormatPr defaultRowHeight="13.5" x14ac:dyDescent="0.15"/>
  <cols>
    <col min="3" max="3" width="26" customWidth="1"/>
    <col min="4" max="4" width="21.625" customWidth="1"/>
    <col min="5" max="5" width="33.75" customWidth="1"/>
    <col min="6" max="6" width="32.125" customWidth="1"/>
    <col min="7" max="7" width="22.125" customWidth="1"/>
  </cols>
  <sheetData>
    <row r="11" spans="3:7" ht="14.25" x14ac:dyDescent="0.2">
      <c r="C11" s="17" t="s">
        <v>28</v>
      </c>
      <c r="D11" s="18" t="s">
        <v>30</v>
      </c>
      <c r="E11" s="18" t="s">
        <v>29</v>
      </c>
      <c r="F11" s="18" t="s">
        <v>31</v>
      </c>
      <c r="G11" s="18" t="s">
        <v>26</v>
      </c>
    </row>
    <row r="12" spans="3:7" ht="14.25" x14ac:dyDescent="0.2">
      <c r="C12" s="17" t="s">
        <v>8</v>
      </c>
      <c r="D12" s="17">
        <v>13277</v>
      </c>
      <c r="E12" s="17">
        <v>1.38095238095238</v>
      </c>
      <c r="F12" s="17">
        <f>D12*E12</f>
        <v>18334.904761904749</v>
      </c>
      <c r="G12" s="17">
        <v>1184.34399999999</v>
      </c>
    </row>
    <row r="13" spans="3:7" ht="14.25" x14ac:dyDescent="0.2">
      <c r="C13" s="17" t="s">
        <v>9</v>
      </c>
      <c r="D13" s="17">
        <v>21019</v>
      </c>
      <c r="E13" s="17">
        <v>1.9952380952380999</v>
      </c>
      <c r="F13" s="17">
        <f>D13*E13</f>
        <v>41937.90952380962</v>
      </c>
      <c r="G13" s="17">
        <v>2954.96</v>
      </c>
    </row>
    <row r="14" spans="3:7" ht="14.25" x14ac:dyDescent="0.2">
      <c r="C14" s="17" t="s">
        <v>12</v>
      </c>
      <c r="D14" s="17">
        <v>23949</v>
      </c>
      <c r="E14" s="17">
        <v>5.0487804878048799</v>
      </c>
      <c r="F14" s="17">
        <f>D14*E14</f>
        <v>120913.24390243906</v>
      </c>
      <c r="G14" s="17">
        <v>8162.7079999999896</v>
      </c>
    </row>
    <row r="15" spans="3:7" ht="14.25" x14ac:dyDescent="0.2">
      <c r="C15" s="17" t="s">
        <v>2</v>
      </c>
      <c r="D15" s="17">
        <v>30859</v>
      </c>
      <c r="E15" s="17">
        <v>2.30894308943089</v>
      </c>
      <c r="F15" s="17">
        <f>D15*E15</f>
        <v>71251.67479674783</v>
      </c>
      <c r="G15" s="17">
        <v>6360.9969999999903</v>
      </c>
    </row>
    <row r="16" spans="3:7" ht="14.25" x14ac:dyDescent="0.2">
      <c r="C16" s="17" t="s">
        <v>10</v>
      </c>
      <c r="D16" s="17">
        <v>38857</v>
      </c>
      <c r="E16" s="17">
        <v>6.6419213973799103</v>
      </c>
      <c r="F16" s="17">
        <f>D16*E16</f>
        <v>258085.13973799118</v>
      </c>
      <c r="G16" s="17">
        <v>21127.306</v>
      </c>
    </row>
    <row r="17" spans="3:7" ht="14.25" x14ac:dyDescent="0.2">
      <c r="C17" s="17" t="s">
        <v>6</v>
      </c>
      <c r="D17" s="17">
        <v>38926</v>
      </c>
      <c r="E17" s="17">
        <v>2</v>
      </c>
      <c r="F17" s="17">
        <f>D17*E17</f>
        <v>77852</v>
      </c>
      <c r="G17" s="17">
        <v>4619.7239999999902</v>
      </c>
    </row>
    <row r="18" spans="3:7" ht="14.25" x14ac:dyDescent="0.2">
      <c r="C18" s="17" t="s">
        <v>4</v>
      </c>
      <c r="D18" s="17">
        <v>44743</v>
      </c>
      <c r="E18" s="17">
        <v>2.4961977186311799</v>
      </c>
      <c r="F18" s="17">
        <f>D18*E18</f>
        <v>111687.37452471488</v>
      </c>
      <c r="G18" s="17">
        <v>7499.9009999999998</v>
      </c>
    </row>
    <row r="19" spans="3:7" ht="14.25" x14ac:dyDescent="0.2">
      <c r="C19" s="17" t="s">
        <v>13</v>
      </c>
      <c r="D19" s="17">
        <v>47555</v>
      </c>
      <c r="E19" s="17">
        <v>2.5650406504065</v>
      </c>
      <c r="F19" s="17">
        <f>D19*E19</f>
        <v>121980.5081300811</v>
      </c>
      <c r="G19" s="17">
        <v>10681.114</v>
      </c>
    </row>
    <row r="20" spans="3:7" ht="14.25" x14ac:dyDescent="0.2">
      <c r="C20" s="17" t="s">
        <v>5</v>
      </c>
      <c r="D20" s="17">
        <v>60596</v>
      </c>
      <c r="E20" s="17">
        <v>1.9618320610686999</v>
      </c>
      <c r="F20" s="17">
        <f>D20*E20</f>
        <v>118879.17557251894</v>
      </c>
      <c r="G20" s="17">
        <v>11604.218999999999</v>
      </c>
    </row>
    <row r="21" spans="3:7" ht="14.25" x14ac:dyDescent="0.2">
      <c r="C21" s="17" t="s">
        <v>3</v>
      </c>
      <c r="D21" s="17">
        <v>65480</v>
      </c>
      <c r="E21" s="17">
        <v>2.37550471063257</v>
      </c>
      <c r="F21" s="17">
        <f>D21*E21</f>
        <v>155548.04845222068</v>
      </c>
      <c r="G21" s="17">
        <v>16784.076000000001</v>
      </c>
    </row>
    <row r="22" spans="3:7" ht="14.25" x14ac:dyDescent="0.2">
      <c r="C22" s="17" t="s">
        <v>7</v>
      </c>
      <c r="D22" s="17">
        <v>87965</v>
      </c>
      <c r="E22" s="17">
        <v>2.1608265947888601</v>
      </c>
      <c r="F22" s="17">
        <f>D22*E22</f>
        <v>190077.11141060208</v>
      </c>
      <c r="G22" s="17">
        <v>21221.979999999901</v>
      </c>
    </row>
    <row r="23" spans="3:7" ht="14.25" x14ac:dyDescent="0.2">
      <c r="C23" s="17" t="s">
        <v>11</v>
      </c>
      <c r="D23" s="17">
        <v>126981</v>
      </c>
      <c r="E23" s="17">
        <v>2.7702552719200901</v>
      </c>
      <c r="F23" s="17">
        <f>D23*E23</f>
        <v>351769.78468368499</v>
      </c>
      <c r="G23" s="17">
        <v>41770.325999999899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TypeAccuracy</vt:lpstr>
      <vt:lpstr>Any_Ratio</vt:lpstr>
      <vt:lpstr>Token_Cost</vt:lpstr>
      <vt:lpstr>Time_Cost</vt:lpstr>
      <vt:lpstr>Time_Trend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Sunshuo</dc:creator>
  <cp:lastModifiedBy>Shuo Sun</cp:lastModifiedBy>
  <dcterms:created xsi:type="dcterms:W3CDTF">2023-05-12T11:15:00Z</dcterms:created>
  <dcterms:modified xsi:type="dcterms:W3CDTF">2026-04-17T10:18:11Z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88B61AB62A1C429097B505C4572E1375_12</vt:lpwstr>
  </property>
  <property fmtid="{D5CDD505-2E9C-101B-9397-08002B2CF9AE}" pid="4" name="CalculationRule">
    <vt:i4>0</vt:i4>
  </property>
</Properties>
</file>